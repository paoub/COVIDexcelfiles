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5.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1" codeName="{3D1A710C-6663-3D7B-7F91-EC182F24A4BC}"/>
  <workbookPr codeName="Questa_cartella_di_lavoro" defaultThemeVersion="166925"/>
  <mc:AlternateContent xmlns:mc="http://schemas.openxmlformats.org/markup-compatibility/2006">
    <mc:Choice Requires="x15">
      <x15ac:absPath xmlns:x15ac="http://schemas.microsoft.com/office/spreadsheetml/2010/11/ac" url="L:\FarmacologiaAntitumorale\PaoloU\covid\"/>
    </mc:Choice>
  </mc:AlternateContent>
  <xr:revisionPtr revIDLastSave="0" documentId="13_ncr:80001_{0E70C78B-C753-4126-AF9A-4F9F59B8CB09}" xr6:coauthVersionLast="36" xr6:coauthVersionMax="36" xr10:uidLastSave="{00000000-0000-0000-0000-000000000000}"/>
  <bookViews>
    <workbookView xWindow="-120" yWindow="-120" windowWidth="20700" windowHeight="11160" xr2:uid="{00000000-000D-0000-FFFF-FFFF00000000}"/>
  </bookViews>
  <sheets>
    <sheet name="reg" sheetId="10" r:id="rId1"/>
    <sheet name="prov" sheetId="9" r:id="rId2"/>
    <sheet name="note" sheetId="6" r:id="rId3"/>
    <sheet name="nuts" sheetId="8" r:id="rId4"/>
  </sheets>
  <definedNames>
    <definedName name="colProv">prov!$AE$11</definedName>
    <definedName name="colReg">reg!$AI$8</definedName>
    <definedName name="CopyRowProv">prov!$AF$7</definedName>
    <definedName name="CopyRowReg">reg!$AJ$3</definedName>
    <definedName name="DatiEsterni_1" localSheetId="2" hidden="1">note!$A$1:$B$152</definedName>
    <definedName name="DatiEsterni_1" localSheetId="1" hidden="1">prov!$A$1:$N$150</definedName>
    <definedName name="DatiEsterni_2" localSheetId="0" hidden="1">reg!$A$1:$AD$22</definedName>
    <definedName name="rigProv">prov!$AD$11</definedName>
    <definedName name="rigReg">reg!$AH$8</definedName>
    <definedName name="startProv">prov!$Q$2</definedName>
    <definedName name="startReg">reg!$A$26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2" i="9" l="1"/>
  <c r="A26" i="10"/>
  <c r="AI9" i="10" l="1"/>
  <c r="AH9" i="10"/>
  <c r="AI8" i="10"/>
  <c r="AH8" i="10"/>
  <c r="AJ3" i="10"/>
  <c r="AH3" i="10"/>
  <c r="AC94" i="10"/>
  <c r="W94" i="10"/>
  <c r="V94" i="10"/>
  <c r="U94" i="10"/>
  <c r="F94" i="10"/>
  <c r="E94" i="10"/>
  <c r="AC93" i="10"/>
  <c r="W93" i="10"/>
  <c r="V93" i="10"/>
  <c r="U93" i="10"/>
  <c r="F93" i="10"/>
  <c r="E93" i="10"/>
  <c r="AC92" i="10"/>
  <c r="W92" i="10"/>
  <c r="V92" i="10"/>
  <c r="U92" i="10"/>
  <c r="F92" i="10"/>
  <c r="E92" i="10"/>
  <c r="AC91" i="10"/>
  <c r="W91" i="10"/>
  <c r="V91" i="10"/>
  <c r="U91" i="10"/>
  <c r="F91" i="10"/>
  <c r="E91" i="10"/>
  <c r="AC90" i="10"/>
  <c r="W90" i="10"/>
  <c r="V90" i="10"/>
  <c r="U90" i="10"/>
  <c r="F90" i="10"/>
  <c r="E90" i="10"/>
  <c r="AC89" i="10"/>
  <c r="W89" i="10"/>
  <c r="V89" i="10"/>
  <c r="U89" i="10"/>
  <c r="F89" i="10"/>
  <c r="E89" i="10"/>
  <c r="AC88" i="10"/>
  <c r="W88" i="10"/>
  <c r="V88" i="10"/>
  <c r="U88" i="10"/>
  <c r="F88" i="10"/>
  <c r="E88" i="10"/>
  <c r="AC87" i="10"/>
  <c r="W87" i="10"/>
  <c r="V87" i="10"/>
  <c r="U87" i="10"/>
  <c r="F87" i="10"/>
  <c r="E87" i="10"/>
  <c r="AC86" i="10"/>
  <c r="W86" i="10"/>
  <c r="V86" i="10"/>
  <c r="U86" i="10"/>
  <c r="F86" i="10"/>
  <c r="E86" i="10"/>
  <c r="AC85" i="10"/>
  <c r="W85" i="10"/>
  <c r="V85" i="10"/>
  <c r="U85" i="10"/>
  <c r="F85" i="10"/>
  <c r="E85" i="10"/>
  <c r="AC84" i="10"/>
  <c r="W84" i="10"/>
  <c r="V84" i="10"/>
  <c r="U84" i="10"/>
  <c r="F84" i="10"/>
  <c r="E84" i="10"/>
  <c r="AC83" i="10"/>
  <c r="W83" i="10"/>
  <c r="V83" i="10"/>
  <c r="U83" i="10"/>
  <c r="F83" i="10"/>
  <c r="E83" i="10"/>
  <c r="AC82" i="10"/>
  <c r="W82" i="10"/>
  <c r="V82" i="10"/>
  <c r="U82" i="10"/>
  <c r="F82" i="10"/>
  <c r="E82" i="10"/>
  <c r="AC81" i="10"/>
  <c r="W81" i="10"/>
  <c r="V81" i="10"/>
  <c r="U81" i="10"/>
  <c r="F81" i="10"/>
  <c r="E81" i="10"/>
  <c r="AC80" i="10"/>
  <c r="W80" i="10"/>
  <c r="V80" i="10"/>
  <c r="U80" i="10"/>
  <c r="F80" i="10"/>
  <c r="E80" i="10"/>
  <c r="AC79" i="10"/>
  <c r="W79" i="10"/>
  <c r="V79" i="10"/>
  <c r="U79" i="10"/>
  <c r="F79" i="10"/>
  <c r="E79" i="10"/>
  <c r="AC78" i="10"/>
  <c r="W78" i="10"/>
  <c r="V78" i="10"/>
  <c r="U78" i="10"/>
  <c r="F78" i="10"/>
  <c r="E78" i="10"/>
  <c r="AC77" i="10"/>
  <c r="W77" i="10"/>
  <c r="V77" i="10"/>
  <c r="U77" i="10"/>
  <c r="F77" i="10"/>
  <c r="E77" i="10"/>
  <c r="AC76" i="10"/>
  <c r="W76" i="10"/>
  <c r="V76" i="10"/>
  <c r="U76" i="10"/>
  <c r="F76" i="10"/>
  <c r="E76" i="10"/>
  <c r="AC75" i="10"/>
  <c r="W75" i="10"/>
  <c r="V75" i="10"/>
  <c r="U75" i="10"/>
  <c r="F75" i="10"/>
  <c r="E75" i="10"/>
  <c r="AC74" i="10"/>
  <c r="W74" i="10"/>
  <c r="V74" i="10"/>
  <c r="U74" i="10"/>
  <c r="F74" i="10"/>
  <c r="E74" i="10"/>
  <c r="AD46" i="10"/>
  <c r="AD94" i="10" s="1"/>
  <c r="AB46" i="10"/>
  <c r="AB94" i="10" s="1"/>
  <c r="AA46" i="10"/>
  <c r="AA94" i="10" s="1"/>
  <c r="Z46" i="10"/>
  <c r="Z94" i="10" s="1"/>
  <c r="Y46" i="10"/>
  <c r="Y94" i="10" s="1"/>
  <c r="X46" i="10"/>
  <c r="X94" i="10" s="1"/>
  <c r="T46" i="10"/>
  <c r="T94" i="10" s="1"/>
  <c r="S46" i="10"/>
  <c r="S94" i="10" s="1"/>
  <c r="R46" i="10"/>
  <c r="R94" i="10" s="1"/>
  <c r="Q46" i="10"/>
  <c r="Q94" i="10" s="1"/>
  <c r="P46" i="10"/>
  <c r="P94" i="10" s="1"/>
  <c r="O46" i="10"/>
  <c r="O94" i="10" s="1"/>
  <c r="N46" i="10"/>
  <c r="N94" i="10" s="1"/>
  <c r="M46" i="10"/>
  <c r="M94" i="10" s="1"/>
  <c r="L46" i="10"/>
  <c r="L94" i="10" s="1"/>
  <c r="K46" i="10"/>
  <c r="K94" i="10" s="1"/>
  <c r="J46" i="10"/>
  <c r="J94" i="10" s="1"/>
  <c r="I46" i="10"/>
  <c r="I94" i="10" s="1"/>
  <c r="H46" i="10"/>
  <c r="H94" i="10" s="1"/>
  <c r="G46" i="10"/>
  <c r="G94" i="10" s="1"/>
  <c r="D46" i="10"/>
  <c r="D94" i="10" s="1"/>
  <c r="C46" i="10"/>
  <c r="C94" i="10" s="1"/>
  <c r="B46" i="10"/>
  <c r="B94" i="10" s="1"/>
  <c r="AD45" i="10"/>
  <c r="AD93" i="10" s="1"/>
  <c r="AB45" i="10"/>
  <c r="AB93" i="10" s="1"/>
  <c r="AA45" i="10"/>
  <c r="AA93" i="10" s="1"/>
  <c r="Z45" i="10"/>
  <c r="Z93" i="10" s="1"/>
  <c r="Y45" i="10"/>
  <c r="Y93" i="10" s="1"/>
  <c r="X45" i="10"/>
  <c r="X93" i="10" s="1"/>
  <c r="T45" i="10"/>
  <c r="T93" i="10" s="1"/>
  <c r="S45" i="10"/>
  <c r="S93" i="10" s="1"/>
  <c r="R45" i="10"/>
  <c r="R93" i="10" s="1"/>
  <c r="Q45" i="10"/>
  <c r="Q93" i="10" s="1"/>
  <c r="P45" i="10"/>
  <c r="P93" i="10" s="1"/>
  <c r="O45" i="10"/>
  <c r="O93" i="10" s="1"/>
  <c r="N45" i="10"/>
  <c r="N93" i="10" s="1"/>
  <c r="M45" i="10"/>
  <c r="M93" i="10" s="1"/>
  <c r="L45" i="10"/>
  <c r="L93" i="10" s="1"/>
  <c r="K45" i="10"/>
  <c r="K93" i="10" s="1"/>
  <c r="J45" i="10"/>
  <c r="J93" i="10" s="1"/>
  <c r="I45" i="10"/>
  <c r="I93" i="10" s="1"/>
  <c r="H45" i="10"/>
  <c r="H93" i="10" s="1"/>
  <c r="G45" i="10"/>
  <c r="G93" i="10" s="1"/>
  <c r="D45" i="10"/>
  <c r="D93" i="10" s="1"/>
  <c r="C45" i="10"/>
  <c r="C93" i="10" s="1"/>
  <c r="B45" i="10"/>
  <c r="B93" i="10" s="1"/>
  <c r="AD44" i="10"/>
  <c r="AD92" i="10" s="1"/>
  <c r="AB44" i="10"/>
  <c r="AB92" i="10" s="1"/>
  <c r="AA44" i="10"/>
  <c r="AA92" i="10" s="1"/>
  <c r="Z44" i="10"/>
  <c r="Z92" i="10" s="1"/>
  <c r="Y44" i="10"/>
  <c r="Y92" i="10" s="1"/>
  <c r="X44" i="10"/>
  <c r="X92" i="10" s="1"/>
  <c r="T44" i="10"/>
  <c r="T92" i="10" s="1"/>
  <c r="S44" i="10"/>
  <c r="S92" i="10" s="1"/>
  <c r="R44" i="10"/>
  <c r="R92" i="10" s="1"/>
  <c r="Q44" i="10"/>
  <c r="Q92" i="10" s="1"/>
  <c r="P44" i="10"/>
  <c r="P92" i="10" s="1"/>
  <c r="O44" i="10"/>
  <c r="O92" i="10" s="1"/>
  <c r="N44" i="10"/>
  <c r="N92" i="10" s="1"/>
  <c r="M44" i="10"/>
  <c r="M92" i="10" s="1"/>
  <c r="L44" i="10"/>
  <c r="L92" i="10" s="1"/>
  <c r="K44" i="10"/>
  <c r="K92" i="10" s="1"/>
  <c r="J44" i="10"/>
  <c r="J92" i="10" s="1"/>
  <c r="I44" i="10"/>
  <c r="I92" i="10" s="1"/>
  <c r="H44" i="10"/>
  <c r="H92" i="10" s="1"/>
  <c r="G44" i="10"/>
  <c r="G92" i="10" s="1"/>
  <c r="D44" i="10"/>
  <c r="D92" i="10" s="1"/>
  <c r="C44" i="10"/>
  <c r="C92" i="10" s="1"/>
  <c r="B44" i="10"/>
  <c r="B92" i="10" s="1"/>
  <c r="AD43" i="10"/>
  <c r="AD91" i="10" s="1"/>
  <c r="AB43" i="10"/>
  <c r="AB91" i="10" s="1"/>
  <c r="AA43" i="10"/>
  <c r="AA91" i="10" s="1"/>
  <c r="Z43" i="10"/>
  <c r="Z91" i="10" s="1"/>
  <c r="Y43" i="10"/>
  <c r="Y91" i="10" s="1"/>
  <c r="X43" i="10"/>
  <c r="X91" i="10" s="1"/>
  <c r="T43" i="10"/>
  <c r="T91" i="10" s="1"/>
  <c r="S43" i="10"/>
  <c r="S91" i="10" s="1"/>
  <c r="R43" i="10"/>
  <c r="R91" i="10" s="1"/>
  <c r="Q43" i="10"/>
  <c r="Q91" i="10" s="1"/>
  <c r="P43" i="10"/>
  <c r="P91" i="10" s="1"/>
  <c r="O43" i="10"/>
  <c r="O91" i="10" s="1"/>
  <c r="N43" i="10"/>
  <c r="N91" i="10" s="1"/>
  <c r="M43" i="10"/>
  <c r="M91" i="10" s="1"/>
  <c r="L43" i="10"/>
  <c r="L91" i="10" s="1"/>
  <c r="K43" i="10"/>
  <c r="K91" i="10" s="1"/>
  <c r="J43" i="10"/>
  <c r="J91" i="10" s="1"/>
  <c r="I43" i="10"/>
  <c r="I91" i="10" s="1"/>
  <c r="H43" i="10"/>
  <c r="H91" i="10" s="1"/>
  <c r="G43" i="10"/>
  <c r="G91" i="10" s="1"/>
  <c r="D43" i="10"/>
  <c r="D91" i="10" s="1"/>
  <c r="C43" i="10"/>
  <c r="C91" i="10" s="1"/>
  <c r="B43" i="10"/>
  <c r="B91" i="10" s="1"/>
  <c r="AD42" i="10"/>
  <c r="AD90" i="10" s="1"/>
  <c r="AB42" i="10"/>
  <c r="AB90" i="10" s="1"/>
  <c r="AA42" i="10"/>
  <c r="AA90" i="10" s="1"/>
  <c r="Z42" i="10"/>
  <c r="Z90" i="10" s="1"/>
  <c r="Y42" i="10"/>
  <c r="Y90" i="10" s="1"/>
  <c r="X42" i="10"/>
  <c r="X90" i="10" s="1"/>
  <c r="T42" i="10"/>
  <c r="T90" i="10" s="1"/>
  <c r="S42" i="10"/>
  <c r="S90" i="10" s="1"/>
  <c r="R42" i="10"/>
  <c r="R90" i="10" s="1"/>
  <c r="Q42" i="10"/>
  <c r="Q90" i="10" s="1"/>
  <c r="P42" i="10"/>
  <c r="P90" i="10" s="1"/>
  <c r="O42" i="10"/>
  <c r="O90" i="10" s="1"/>
  <c r="N42" i="10"/>
  <c r="N90" i="10" s="1"/>
  <c r="M42" i="10"/>
  <c r="M90" i="10" s="1"/>
  <c r="L42" i="10"/>
  <c r="L90" i="10" s="1"/>
  <c r="K42" i="10"/>
  <c r="K90" i="10" s="1"/>
  <c r="J42" i="10"/>
  <c r="J90" i="10" s="1"/>
  <c r="I42" i="10"/>
  <c r="I90" i="10" s="1"/>
  <c r="H42" i="10"/>
  <c r="H90" i="10" s="1"/>
  <c r="G42" i="10"/>
  <c r="G90" i="10" s="1"/>
  <c r="D42" i="10"/>
  <c r="D90" i="10" s="1"/>
  <c r="C42" i="10"/>
  <c r="C90" i="10" s="1"/>
  <c r="B42" i="10"/>
  <c r="B90" i="10" s="1"/>
  <c r="AD41" i="10"/>
  <c r="AD89" i="10" s="1"/>
  <c r="AB41" i="10"/>
  <c r="AB89" i="10" s="1"/>
  <c r="AA41" i="10"/>
  <c r="AA89" i="10" s="1"/>
  <c r="Z41" i="10"/>
  <c r="Z89" i="10" s="1"/>
  <c r="Y41" i="10"/>
  <c r="Y89" i="10" s="1"/>
  <c r="X41" i="10"/>
  <c r="X89" i="10" s="1"/>
  <c r="T41" i="10"/>
  <c r="T89" i="10" s="1"/>
  <c r="S41" i="10"/>
  <c r="S89" i="10" s="1"/>
  <c r="R41" i="10"/>
  <c r="R89" i="10" s="1"/>
  <c r="Q41" i="10"/>
  <c r="Q89" i="10" s="1"/>
  <c r="P41" i="10"/>
  <c r="P89" i="10" s="1"/>
  <c r="O41" i="10"/>
  <c r="O89" i="10" s="1"/>
  <c r="N41" i="10"/>
  <c r="N89" i="10" s="1"/>
  <c r="M41" i="10"/>
  <c r="M89" i="10" s="1"/>
  <c r="L41" i="10"/>
  <c r="L89" i="10" s="1"/>
  <c r="K41" i="10"/>
  <c r="K89" i="10" s="1"/>
  <c r="J41" i="10"/>
  <c r="J89" i="10" s="1"/>
  <c r="I41" i="10"/>
  <c r="I89" i="10" s="1"/>
  <c r="H41" i="10"/>
  <c r="H89" i="10" s="1"/>
  <c r="G41" i="10"/>
  <c r="G89" i="10" s="1"/>
  <c r="D41" i="10"/>
  <c r="D89" i="10" s="1"/>
  <c r="C41" i="10"/>
  <c r="C89" i="10" s="1"/>
  <c r="B41" i="10"/>
  <c r="B89" i="10" s="1"/>
  <c r="AD40" i="10"/>
  <c r="AD88" i="10" s="1"/>
  <c r="AB40" i="10"/>
  <c r="AB88" i="10" s="1"/>
  <c r="AA40" i="10"/>
  <c r="AA88" i="10" s="1"/>
  <c r="Z40" i="10"/>
  <c r="Z88" i="10" s="1"/>
  <c r="Y40" i="10"/>
  <c r="Y88" i="10" s="1"/>
  <c r="X40" i="10"/>
  <c r="X88" i="10" s="1"/>
  <c r="T40" i="10"/>
  <c r="T88" i="10" s="1"/>
  <c r="S40" i="10"/>
  <c r="S88" i="10" s="1"/>
  <c r="R40" i="10"/>
  <c r="R88" i="10" s="1"/>
  <c r="Q40" i="10"/>
  <c r="Q88" i="10" s="1"/>
  <c r="P40" i="10"/>
  <c r="P88" i="10" s="1"/>
  <c r="O40" i="10"/>
  <c r="O88" i="10" s="1"/>
  <c r="N40" i="10"/>
  <c r="N88" i="10" s="1"/>
  <c r="M40" i="10"/>
  <c r="M88" i="10" s="1"/>
  <c r="L40" i="10"/>
  <c r="L88" i="10" s="1"/>
  <c r="K40" i="10"/>
  <c r="K88" i="10" s="1"/>
  <c r="J40" i="10"/>
  <c r="J88" i="10" s="1"/>
  <c r="I40" i="10"/>
  <c r="I88" i="10" s="1"/>
  <c r="H40" i="10"/>
  <c r="H88" i="10" s="1"/>
  <c r="G40" i="10"/>
  <c r="G88" i="10" s="1"/>
  <c r="D40" i="10"/>
  <c r="D88" i="10" s="1"/>
  <c r="C40" i="10"/>
  <c r="C88" i="10" s="1"/>
  <c r="B40" i="10"/>
  <c r="B88" i="10" s="1"/>
  <c r="AD39" i="10"/>
  <c r="AD87" i="10" s="1"/>
  <c r="AB39" i="10"/>
  <c r="AB87" i="10" s="1"/>
  <c r="AA39" i="10"/>
  <c r="AA87" i="10" s="1"/>
  <c r="Z39" i="10"/>
  <c r="Z87" i="10" s="1"/>
  <c r="Y39" i="10"/>
  <c r="Y87" i="10" s="1"/>
  <c r="X39" i="10"/>
  <c r="X87" i="10" s="1"/>
  <c r="T39" i="10"/>
  <c r="T87" i="10" s="1"/>
  <c r="S39" i="10"/>
  <c r="S87" i="10" s="1"/>
  <c r="R39" i="10"/>
  <c r="R87" i="10" s="1"/>
  <c r="Q39" i="10"/>
  <c r="Q87" i="10" s="1"/>
  <c r="P39" i="10"/>
  <c r="P87" i="10" s="1"/>
  <c r="O39" i="10"/>
  <c r="O87" i="10" s="1"/>
  <c r="N39" i="10"/>
  <c r="N87" i="10" s="1"/>
  <c r="M39" i="10"/>
  <c r="M87" i="10" s="1"/>
  <c r="L39" i="10"/>
  <c r="L87" i="10" s="1"/>
  <c r="K39" i="10"/>
  <c r="K87" i="10" s="1"/>
  <c r="J39" i="10"/>
  <c r="J87" i="10" s="1"/>
  <c r="I39" i="10"/>
  <c r="I87" i="10" s="1"/>
  <c r="H39" i="10"/>
  <c r="H87" i="10" s="1"/>
  <c r="G39" i="10"/>
  <c r="G87" i="10" s="1"/>
  <c r="D39" i="10"/>
  <c r="D87" i="10" s="1"/>
  <c r="C39" i="10"/>
  <c r="C87" i="10" s="1"/>
  <c r="B39" i="10"/>
  <c r="B87" i="10" s="1"/>
  <c r="AD38" i="10"/>
  <c r="AD86" i="10" s="1"/>
  <c r="AB38" i="10"/>
  <c r="AB86" i="10" s="1"/>
  <c r="AA38" i="10"/>
  <c r="AA86" i="10" s="1"/>
  <c r="Z38" i="10"/>
  <c r="Z86" i="10" s="1"/>
  <c r="Y38" i="10"/>
  <c r="Y86" i="10" s="1"/>
  <c r="X38" i="10"/>
  <c r="X86" i="10" s="1"/>
  <c r="T38" i="10"/>
  <c r="T86" i="10" s="1"/>
  <c r="S38" i="10"/>
  <c r="S86" i="10" s="1"/>
  <c r="R38" i="10"/>
  <c r="R86" i="10" s="1"/>
  <c r="Q38" i="10"/>
  <c r="Q86" i="10" s="1"/>
  <c r="P38" i="10"/>
  <c r="P86" i="10" s="1"/>
  <c r="O38" i="10"/>
  <c r="O86" i="10" s="1"/>
  <c r="N38" i="10"/>
  <c r="N86" i="10" s="1"/>
  <c r="M38" i="10"/>
  <c r="M86" i="10" s="1"/>
  <c r="L38" i="10"/>
  <c r="L86" i="10" s="1"/>
  <c r="K38" i="10"/>
  <c r="K86" i="10" s="1"/>
  <c r="J38" i="10"/>
  <c r="J86" i="10" s="1"/>
  <c r="I38" i="10"/>
  <c r="I86" i="10" s="1"/>
  <c r="H38" i="10"/>
  <c r="H86" i="10" s="1"/>
  <c r="G38" i="10"/>
  <c r="G86" i="10" s="1"/>
  <c r="D38" i="10"/>
  <c r="D86" i="10" s="1"/>
  <c r="C38" i="10"/>
  <c r="C86" i="10" s="1"/>
  <c r="B38" i="10"/>
  <c r="B86" i="10" s="1"/>
  <c r="AD37" i="10"/>
  <c r="AD85" i="10" s="1"/>
  <c r="AB37" i="10"/>
  <c r="AB85" i="10" s="1"/>
  <c r="AA37" i="10"/>
  <c r="AA85" i="10" s="1"/>
  <c r="Z37" i="10"/>
  <c r="Z85" i="10" s="1"/>
  <c r="Y37" i="10"/>
  <c r="Y85" i="10" s="1"/>
  <c r="X37" i="10"/>
  <c r="X85" i="10" s="1"/>
  <c r="T37" i="10"/>
  <c r="T85" i="10" s="1"/>
  <c r="S37" i="10"/>
  <c r="S85" i="10" s="1"/>
  <c r="R37" i="10"/>
  <c r="R85" i="10" s="1"/>
  <c r="Q37" i="10"/>
  <c r="Q85" i="10" s="1"/>
  <c r="P37" i="10"/>
  <c r="P85" i="10" s="1"/>
  <c r="O37" i="10"/>
  <c r="O85" i="10" s="1"/>
  <c r="N37" i="10"/>
  <c r="N85" i="10" s="1"/>
  <c r="M37" i="10"/>
  <c r="M85" i="10" s="1"/>
  <c r="L37" i="10"/>
  <c r="L85" i="10" s="1"/>
  <c r="K37" i="10"/>
  <c r="K85" i="10" s="1"/>
  <c r="J37" i="10"/>
  <c r="J85" i="10" s="1"/>
  <c r="I37" i="10"/>
  <c r="I85" i="10" s="1"/>
  <c r="H37" i="10"/>
  <c r="H85" i="10" s="1"/>
  <c r="G37" i="10"/>
  <c r="G85" i="10" s="1"/>
  <c r="D37" i="10"/>
  <c r="D85" i="10" s="1"/>
  <c r="C37" i="10"/>
  <c r="C85" i="10" s="1"/>
  <c r="B37" i="10"/>
  <c r="B85" i="10" s="1"/>
  <c r="AD36" i="10"/>
  <c r="AD84" i="10" s="1"/>
  <c r="AB36" i="10"/>
  <c r="AB84" i="10" s="1"/>
  <c r="AA36" i="10"/>
  <c r="AA84" i="10" s="1"/>
  <c r="Z36" i="10"/>
  <c r="Z84" i="10" s="1"/>
  <c r="Y36" i="10"/>
  <c r="Y84" i="10" s="1"/>
  <c r="X36" i="10"/>
  <c r="X84" i="10" s="1"/>
  <c r="T36" i="10"/>
  <c r="T84" i="10" s="1"/>
  <c r="S36" i="10"/>
  <c r="S84" i="10" s="1"/>
  <c r="R36" i="10"/>
  <c r="R84" i="10" s="1"/>
  <c r="Q36" i="10"/>
  <c r="Q84" i="10" s="1"/>
  <c r="P36" i="10"/>
  <c r="P84" i="10" s="1"/>
  <c r="O36" i="10"/>
  <c r="O84" i="10" s="1"/>
  <c r="N36" i="10"/>
  <c r="N84" i="10" s="1"/>
  <c r="M36" i="10"/>
  <c r="M84" i="10" s="1"/>
  <c r="L36" i="10"/>
  <c r="L84" i="10" s="1"/>
  <c r="K36" i="10"/>
  <c r="K84" i="10" s="1"/>
  <c r="J36" i="10"/>
  <c r="J84" i="10" s="1"/>
  <c r="I36" i="10"/>
  <c r="I84" i="10" s="1"/>
  <c r="H36" i="10"/>
  <c r="H84" i="10" s="1"/>
  <c r="G36" i="10"/>
  <c r="G84" i="10" s="1"/>
  <c r="D36" i="10"/>
  <c r="D84" i="10" s="1"/>
  <c r="C36" i="10"/>
  <c r="C84" i="10" s="1"/>
  <c r="B36" i="10"/>
  <c r="B84" i="10" s="1"/>
  <c r="AD35" i="10"/>
  <c r="AD83" i="10" s="1"/>
  <c r="AB35" i="10"/>
  <c r="AB83" i="10" s="1"/>
  <c r="AA35" i="10"/>
  <c r="AA83" i="10" s="1"/>
  <c r="Z35" i="10"/>
  <c r="Z83" i="10" s="1"/>
  <c r="Y35" i="10"/>
  <c r="Y83" i="10" s="1"/>
  <c r="X35" i="10"/>
  <c r="X83" i="10" s="1"/>
  <c r="T35" i="10"/>
  <c r="T83" i="10" s="1"/>
  <c r="S35" i="10"/>
  <c r="S83" i="10" s="1"/>
  <c r="R35" i="10"/>
  <c r="R83" i="10" s="1"/>
  <c r="Q35" i="10"/>
  <c r="Q83" i="10" s="1"/>
  <c r="P35" i="10"/>
  <c r="P83" i="10" s="1"/>
  <c r="O35" i="10"/>
  <c r="O83" i="10" s="1"/>
  <c r="N35" i="10"/>
  <c r="N83" i="10" s="1"/>
  <c r="M35" i="10"/>
  <c r="M83" i="10" s="1"/>
  <c r="L35" i="10"/>
  <c r="L83" i="10" s="1"/>
  <c r="K35" i="10"/>
  <c r="K83" i="10" s="1"/>
  <c r="J35" i="10"/>
  <c r="J83" i="10" s="1"/>
  <c r="I35" i="10"/>
  <c r="I83" i="10" s="1"/>
  <c r="H35" i="10"/>
  <c r="H83" i="10" s="1"/>
  <c r="G35" i="10"/>
  <c r="G83" i="10" s="1"/>
  <c r="D35" i="10"/>
  <c r="D83" i="10" s="1"/>
  <c r="C35" i="10"/>
  <c r="C83" i="10" s="1"/>
  <c r="B35" i="10"/>
  <c r="B83" i="10" s="1"/>
  <c r="AD34" i="10"/>
  <c r="AD82" i="10" s="1"/>
  <c r="AB34" i="10"/>
  <c r="AB82" i="10" s="1"/>
  <c r="AA34" i="10"/>
  <c r="AA82" i="10" s="1"/>
  <c r="Z34" i="10"/>
  <c r="Z82" i="10" s="1"/>
  <c r="Y34" i="10"/>
  <c r="Y82" i="10" s="1"/>
  <c r="X34" i="10"/>
  <c r="X82" i="10" s="1"/>
  <c r="T34" i="10"/>
  <c r="T82" i="10" s="1"/>
  <c r="S34" i="10"/>
  <c r="S82" i="10" s="1"/>
  <c r="R34" i="10"/>
  <c r="R82" i="10" s="1"/>
  <c r="Q34" i="10"/>
  <c r="Q82" i="10" s="1"/>
  <c r="P34" i="10"/>
  <c r="P82" i="10" s="1"/>
  <c r="O34" i="10"/>
  <c r="O82" i="10" s="1"/>
  <c r="N34" i="10"/>
  <c r="N82" i="10" s="1"/>
  <c r="M34" i="10"/>
  <c r="M82" i="10" s="1"/>
  <c r="L34" i="10"/>
  <c r="L82" i="10" s="1"/>
  <c r="K34" i="10"/>
  <c r="K82" i="10" s="1"/>
  <c r="J34" i="10"/>
  <c r="J82" i="10" s="1"/>
  <c r="I34" i="10"/>
  <c r="I82" i="10" s="1"/>
  <c r="H34" i="10"/>
  <c r="H82" i="10" s="1"/>
  <c r="G34" i="10"/>
  <c r="G82" i="10" s="1"/>
  <c r="D34" i="10"/>
  <c r="D82" i="10" s="1"/>
  <c r="C34" i="10"/>
  <c r="C82" i="10" s="1"/>
  <c r="B34" i="10"/>
  <c r="B82" i="10" s="1"/>
  <c r="AD33" i="10"/>
  <c r="AD81" i="10" s="1"/>
  <c r="AB33" i="10"/>
  <c r="AB81" i="10" s="1"/>
  <c r="AA33" i="10"/>
  <c r="AA81" i="10" s="1"/>
  <c r="Z33" i="10"/>
  <c r="Z81" i="10" s="1"/>
  <c r="Y33" i="10"/>
  <c r="Y81" i="10" s="1"/>
  <c r="X33" i="10"/>
  <c r="X81" i="10" s="1"/>
  <c r="T33" i="10"/>
  <c r="T81" i="10" s="1"/>
  <c r="S33" i="10"/>
  <c r="S81" i="10" s="1"/>
  <c r="R33" i="10"/>
  <c r="R81" i="10" s="1"/>
  <c r="Q33" i="10"/>
  <c r="Q81" i="10" s="1"/>
  <c r="P33" i="10"/>
  <c r="P81" i="10" s="1"/>
  <c r="O33" i="10"/>
  <c r="O81" i="10" s="1"/>
  <c r="N33" i="10"/>
  <c r="N81" i="10" s="1"/>
  <c r="M33" i="10"/>
  <c r="M81" i="10" s="1"/>
  <c r="L33" i="10"/>
  <c r="L81" i="10" s="1"/>
  <c r="K33" i="10"/>
  <c r="K81" i="10" s="1"/>
  <c r="J33" i="10"/>
  <c r="J81" i="10" s="1"/>
  <c r="I33" i="10"/>
  <c r="I81" i="10" s="1"/>
  <c r="H33" i="10"/>
  <c r="H81" i="10" s="1"/>
  <c r="G33" i="10"/>
  <c r="G81" i="10" s="1"/>
  <c r="D33" i="10"/>
  <c r="D81" i="10" s="1"/>
  <c r="C33" i="10"/>
  <c r="C81" i="10" s="1"/>
  <c r="B33" i="10"/>
  <c r="B81" i="10" s="1"/>
  <c r="AD32" i="10"/>
  <c r="AD80" i="10" s="1"/>
  <c r="AB32" i="10"/>
  <c r="AB80" i="10" s="1"/>
  <c r="AA32" i="10"/>
  <c r="AA80" i="10" s="1"/>
  <c r="Z32" i="10"/>
  <c r="Z80" i="10" s="1"/>
  <c r="Y32" i="10"/>
  <c r="Y80" i="10" s="1"/>
  <c r="X32" i="10"/>
  <c r="X80" i="10" s="1"/>
  <c r="T32" i="10"/>
  <c r="T80" i="10" s="1"/>
  <c r="S32" i="10"/>
  <c r="S80" i="10" s="1"/>
  <c r="R32" i="10"/>
  <c r="R80" i="10" s="1"/>
  <c r="Q32" i="10"/>
  <c r="Q80" i="10" s="1"/>
  <c r="P32" i="10"/>
  <c r="P80" i="10" s="1"/>
  <c r="O32" i="10"/>
  <c r="O80" i="10" s="1"/>
  <c r="N32" i="10"/>
  <c r="N80" i="10" s="1"/>
  <c r="M32" i="10"/>
  <c r="M80" i="10" s="1"/>
  <c r="L32" i="10"/>
  <c r="L80" i="10" s="1"/>
  <c r="K32" i="10"/>
  <c r="K80" i="10" s="1"/>
  <c r="J32" i="10"/>
  <c r="J80" i="10" s="1"/>
  <c r="I32" i="10"/>
  <c r="I80" i="10" s="1"/>
  <c r="H32" i="10"/>
  <c r="H80" i="10" s="1"/>
  <c r="G32" i="10"/>
  <c r="G80" i="10" s="1"/>
  <c r="D32" i="10"/>
  <c r="D80" i="10" s="1"/>
  <c r="C32" i="10"/>
  <c r="C80" i="10" s="1"/>
  <c r="B32" i="10"/>
  <c r="B80" i="10" s="1"/>
  <c r="AD31" i="10"/>
  <c r="AD79" i="10" s="1"/>
  <c r="AB31" i="10"/>
  <c r="AB79" i="10" s="1"/>
  <c r="AA31" i="10"/>
  <c r="AA79" i="10" s="1"/>
  <c r="Z31" i="10"/>
  <c r="Z79" i="10" s="1"/>
  <c r="Y31" i="10"/>
  <c r="Y79" i="10" s="1"/>
  <c r="X31" i="10"/>
  <c r="X79" i="10" s="1"/>
  <c r="T31" i="10"/>
  <c r="T79" i="10" s="1"/>
  <c r="S31" i="10"/>
  <c r="S79" i="10" s="1"/>
  <c r="R31" i="10"/>
  <c r="R79" i="10" s="1"/>
  <c r="Q31" i="10"/>
  <c r="Q79" i="10" s="1"/>
  <c r="P31" i="10"/>
  <c r="P79" i="10" s="1"/>
  <c r="O31" i="10"/>
  <c r="O79" i="10" s="1"/>
  <c r="N31" i="10"/>
  <c r="N79" i="10" s="1"/>
  <c r="M31" i="10"/>
  <c r="M79" i="10" s="1"/>
  <c r="L31" i="10"/>
  <c r="L79" i="10" s="1"/>
  <c r="K31" i="10"/>
  <c r="K79" i="10" s="1"/>
  <c r="J31" i="10"/>
  <c r="J79" i="10" s="1"/>
  <c r="I31" i="10"/>
  <c r="I79" i="10" s="1"/>
  <c r="H31" i="10"/>
  <c r="H79" i="10" s="1"/>
  <c r="G31" i="10"/>
  <c r="G79" i="10" s="1"/>
  <c r="D31" i="10"/>
  <c r="D79" i="10" s="1"/>
  <c r="C31" i="10"/>
  <c r="C79" i="10" s="1"/>
  <c r="B31" i="10"/>
  <c r="B79" i="10" s="1"/>
  <c r="AD30" i="10"/>
  <c r="AD78" i="10" s="1"/>
  <c r="AB30" i="10"/>
  <c r="AB78" i="10" s="1"/>
  <c r="AA30" i="10"/>
  <c r="AA78" i="10" s="1"/>
  <c r="Z30" i="10"/>
  <c r="Z78" i="10" s="1"/>
  <c r="Y30" i="10"/>
  <c r="Y78" i="10" s="1"/>
  <c r="X30" i="10"/>
  <c r="X78" i="10" s="1"/>
  <c r="T30" i="10"/>
  <c r="T78" i="10" s="1"/>
  <c r="S30" i="10"/>
  <c r="S78" i="10" s="1"/>
  <c r="R30" i="10"/>
  <c r="R78" i="10" s="1"/>
  <c r="Q30" i="10"/>
  <c r="Q78" i="10" s="1"/>
  <c r="P30" i="10"/>
  <c r="P78" i="10" s="1"/>
  <c r="O30" i="10"/>
  <c r="O78" i="10" s="1"/>
  <c r="N30" i="10"/>
  <c r="N78" i="10" s="1"/>
  <c r="M30" i="10"/>
  <c r="M78" i="10" s="1"/>
  <c r="L30" i="10"/>
  <c r="L78" i="10" s="1"/>
  <c r="K30" i="10"/>
  <c r="K78" i="10" s="1"/>
  <c r="J30" i="10"/>
  <c r="J78" i="10" s="1"/>
  <c r="I30" i="10"/>
  <c r="I78" i="10" s="1"/>
  <c r="H30" i="10"/>
  <c r="H78" i="10" s="1"/>
  <c r="G30" i="10"/>
  <c r="G78" i="10" s="1"/>
  <c r="D30" i="10"/>
  <c r="D78" i="10" s="1"/>
  <c r="C30" i="10"/>
  <c r="C78" i="10" s="1"/>
  <c r="B30" i="10"/>
  <c r="B78" i="10" s="1"/>
  <c r="AD29" i="10"/>
  <c r="AD77" i="10" s="1"/>
  <c r="AB29" i="10"/>
  <c r="AB77" i="10" s="1"/>
  <c r="AA29" i="10"/>
  <c r="AA77" i="10" s="1"/>
  <c r="Z29" i="10"/>
  <c r="Z77" i="10" s="1"/>
  <c r="Y29" i="10"/>
  <c r="Y77" i="10" s="1"/>
  <c r="X29" i="10"/>
  <c r="X77" i="10" s="1"/>
  <c r="T29" i="10"/>
  <c r="T77" i="10" s="1"/>
  <c r="S29" i="10"/>
  <c r="S77" i="10" s="1"/>
  <c r="R29" i="10"/>
  <c r="R77" i="10" s="1"/>
  <c r="Q29" i="10"/>
  <c r="Q77" i="10" s="1"/>
  <c r="P29" i="10"/>
  <c r="P77" i="10" s="1"/>
  <c r="O29" i="10"/>
  <c r="O77" i="10" s="1"/>
  <c r="N29" i="10"/>
  <c r="N77" i="10" s="1"/>
  <c r="M29" i="10"/>
  <c r="M77" i="10" s="1"/>
  <c r="L29" i="10"/>
  <c r="L77" i="10" s="1"/>
  <c r="K29" i="10"/>
  <c r="K77" i="10" s="1"/>
  <c r="J29" i="10"/>
  <c r="J77" i="10" s="1"/>
  <c r="I29" i="10"/>
  <c r="I77" i="10" s="1"/>
  <c r="H29" i="10"/>
  <c r="H77" i="10" s="1"/>
  <c r="G29" i="10"/>
  <c r="G77" i="10" s="1"/>
  <c r="D29" i="10"/>
  <c r="D77" i="10" s="1"/>
  <c r="C29" i="10"/>
  <c r="C77" i="10" s="1"/>
  <c r="B29" i="10"/>
  <c r="B77" i="10" s="1"/>
  <c r="AD28" i="10"/>
  <c r="AD76" i="10" s="1"/>
  <c r="AB28" i="10"/>
  <c r="AB76" i="10" s="1"/>
  <c r="AA28" i="10"/>
  <c r="AA76" i="10" s="1"/>
  <c r="Z28" i="10"/>
  <c r="Z76" i="10" s="1"/>
  <c r="Y28" i="10"/>
  <c r="Y76" i="10" s="1"/>
  <c r="X28" i="10"/>
  <c r="X76" i="10" s="1"/>
  <c r="T28" i="10"/>
  <c r="T76" i="10" s="1"/>
  <c r="S28" i="10"/>
  <c r="S76" i="10" s="1"/>
  <c r="R28" i="10"/>
  <c r="R76" i="10" s="1"/>
  <c r="Q28" i="10"/>
  <c r="Q76" i="10" s="1"/>
  <c r="P28" i="10"/>
  <c r="P76" i="10" s="1"/>
  <c r="O28" i="10"/>
  <c r="O76" i="10" s="1"/>
  <c r="N28" i="10"/>
  <c r="N76" i="10" s="1"/>
  <c r="M28" i="10"/>
  <c r="M76" i="10" s="1"/>
  <c r="L28" i="10"/>
  <c r="L76" i="10" s="1"/>
  <c r="K28" i="10"/>
  <c r="K76" i="10" s="1"/>
  <c r="J28" i="10"/>
  <c r="J76" i="10" s="1"/>
  <c r="I28" i="10"/>
  <c r="I76" i="10" s="1"/>
  <c r="H28" i="10"/>
  <c r="H76" i="10" s="1"/>
  <c r="G28" i="10"/>
  <c r="G76" i="10" s="1"/>
  <c r="D28" i="10"/>
  <c r="D76" i="10" s="1"/>
  <c r="C28" i="10"/>
  <c r="C76" i="10" s="1"/>
  <c r="B28" i="10"/>
  <c r="B76" i="10" s="1"/>
  <c r="AD27" i="10"/>
  <c r="AD75" i="10" s="1"/>
  <c r="AB27" i="10"/>
  <c r="AB75" i="10" s="1"/>
  <c r="AA27" i="10"/>
  <c r="AA75" i="10" s="1"/>
  <c r="Z27" i="10"/>
  <c r="Z75" i="10" s="1"/>
  <c r="Y27" i="10"/>
  <c r="Y75" i="10" s="1"/>
  <c r="X27" i="10"/>
  <c r="X75" i="10" s="1"/>
  <c r="T27" i="10"/>
  <c r="T75" i="10" s="1"/>
  <c r="S27" i="10"/>
  <c r="S75" i="10" s="1"/>
  <c r="R27" i="10"/>
  <c r="R75" i="10" s="1"/>
  <c r="Q27" i="10"/>
  <c r="Q75" i="10" s="1"/>
  <c r="P27" i="10"/>
  <c r="P75" i="10" s="1"/>
  <c r="O27" i="10"/>
  <c r="O75" i="10" s="1"/>
  <c r="N27" i="10"/>
  <c r="N75" i="10" s="1"/>
  <c r="M27" i="10"/>
  <c r="M75" i="10" s="1"/>
  <c r="L27" i="10"/>
  <c r="L75" i="10" s="1"/>
  <c r="K27" i="10"/>
  <c r="K75" i="10" s="1"/>
  <c r="J27" i="10"/>
  <c r="J75" i="10" s="1"/>
  <c r="I27" i="10"/>
  <c r="I75" i="10" s="1"/>
  <c r="H27" i="10"/>
  <c r="H75" i="10" s="1"/>
  <c r="G27" i="10"/>
  <c r="G75" i="10" s="1"/>
  <c r="D27" i="10"/>
  <c r="D75" i="10" s="1"/>
  <c r="C27" i="10"/>
  <c r="C75" i="10" s="1"/>
  <c r="B27" i="10"/>
  <c r="B75" i="10" s="1"/>
  <c r="AD26" i="10"/>
  <c r="AD74" i="10" s="1"/>
  <c r="AB26" i="10"/>
  <c r="AB74" i="10" s="1"/>
  <c r="AA26" i="10"/>
  <c r="AA74" i="10" s="1"/>
  <c r="Z26" i="10"/>
  <c r="Z74" i="10" s="1"/>
  <c r="Y26" i="10"/>
  <c r="Y74" i="10" s="1"/>
  <c r="X26" i="10"/>
  <c r="X74" i="10" s="1"/>
  <c r="T26" i="10"/>
  <c r="T74" i="10" s="1"/>
  <c r="S26" i="10"/>
  <c r="S74" i="10" s="1"/>
  <c r="R26" i="10"/>
  <c r="R74" i="10" s="1"/>
  <c r="Q26" i="10"/>
  <c r="Q74" i="10" s="1"/>
  <c r="P26" i="10"/>
  <c r="P74" i="10" s="1"/>
  <c r="O26" i="10"/>
  <c r="O74" i="10" s="1"/>
  <c r="N26" i="10"/>
  <c r="N74" i="10" s="1"/>
  <c r="M26" i="10"/>
  <c r="M74" i="10" s="1"/>
  <c r="L26" i="10"/>
  <c r="L74" i="10" s="1"/>
  <c r="K26" i="10"/>
  <c r="K74" i="10" s="1"/>
  <c r="J26" i="10"/>
  <c r="J74" i="10" s="1"/>
  <c r="I26" i="10"/>
  <c r="I74" i="10" s="1"/>
  <c r="H26" i="10"/>
  <c r="H74" i="10" s="1"/>
  <c r="G26" i="10"/>
  <c r="G74" i="10" s="1"/>
  <c r="D26" i="10"/>
  <c r="D74" i="10" s="1"/>
  <c r="C26" i="10"/>
  <c r="C74" i="10" s="1"/>
  <c r="B26" i="10"/>
  <c r="B74" i="10" s="1"/>
  <c r="A74" i="10"/>
  <c r="AA129" i="9"/>
  <c r="Z129" i="9"/>
  <c r="Z128" i="9"/>
  <c r="Z127" i="9"/>
  <c r="Z126" i="9"/>
  <c r="Z125" i="9"/>
  <c r="Z124" i="9"/>
  <c r="Z123" i="9"/>
  <c r="Z122" i="9"/>
  <c r="AA121" i="9"/>
  <c r="Z121" i="9"/>
  <c r="Z120" i="9"/>
  <c r="AA119" i="9"/>
  <c r="Z119" i="9"/>
  <c r="Z118" i="9"/>
  <c r="Z117" i="9"/>
  <c r="AA116" i="9"/>
  <c r="Z116" i="9"/>
  <c r="Z115" i="9"/>
  <c r="AA114" i="9"/>
  <c r="Z114" i="9"/>
  <c r="Z113" i="9"/>
  <c r="Z112" i="9"/>
  <c r="Z111" i="9"/>
  <c r="Z110" i="9"/>
  <c r="Z109" i="9"/>
  <c r="Z108" i="9"/>
  <c r="Z107" i="9"/>
  <c r="Z106" i="9"/>
  <c r="Z105" i="9"/>
  <c r="Z104" i="9"/>
  <c r="AA103" i="9"/>
  <c r="Z103" i="9"/>
  <c r="Z102" i="9"/>
  <c r="Z101" i="9"/>
  <c r="Z100" i="9"/>
  <c r="Z99" i="9"/>
  <c r="Z98" i="9"/>
  <c r="Z97" i="9"/>
  <c r="Z96" i="9"/>
  <c r="Z95" i="9"/>
  <c r="Z94" i="9"/>
  <c r="AA93" i="9"/>
  <c r="Z93" i="9"/>
  <c r="Z92" i="9"/>
  <c r="Z91" i="9"/>
  <c r="Z90" i="9"/>
  <c r="Z89" i="9"/>
  <c r="Z88" i="9"/>
  <c r="AA87" i="9"/>
  <c r="Z87" i="9"/>
  <c r="Z86" i="9"/>
  <c r="Z85" i="9"/>
  <c r="Z84" i="9"/>
  <c r="Z83" i="9"/>
  <c r="Z82" i="9"/>
  <c r="Z81" i="9"/>
  <c r="AA80" i="9"/>
  <c r="Z80" i="9"/>
  <c r="Z79" i="9"/>
  <c r="Z78" i="9"/>
  <c r="Z77" i="9"/>
  <c r="Z76" i="9"/>
  <c r="Z75" i="9"/>
  <c r="Z74" i="9"/>
  <c r="Z73" i="9"/>
  <c r="Z72" i="9"/>
  <c r="AA71" i="9"/>
  <c r="Z71" i="9"/>
  <c r="Z70" i="9"/>
  <c r="Z69" i="9"/>
  <c r="AA68" i="9"/>
  <c r="Z68" i="9"/>
  <c r="Z67" i="9"/>
  <c r="Z66" i="9"/>
  <c r="Z65" i="9"/>
  <c r="Z64" i="9"/>
  <c r="Z63" i="9"/>
  <c r="AA62" i="9"/>
  <c r="Z62" i="9"/>
  <c r="Z61" i="9"/>
  <c r="Z60" i="9"/>
  <c r="Z59" i="9"/>
  <c r="Z58" i="9"/>
  <c r="Z57" i="9"/>
  <c r="Z56" i="9"/>
  <c r="Z55" i="9"/>
  <c r="Z54" i="9"/>
  <c r="Z53" i="9"/>
  <c r="Z52" i="9"/>
  <c r="Z51" i="9"/>
  <c r="Z50" i="9"/>
  <c r="AA49" i="9"/>
  <c r="Z49" i="9"/>
  <c r="Z48" i="9"/>
  <c r="Z47" i="9"/>
  <c r="Z46" i="9"/>
  <c r="Z45" i="9"/>
  <c r="AA44" i="9"/>
  <c r="Z44" i="9"/>
  <c r="Z43" i="9"/>
  <c r="Z42" i="9"/>
  <c r="Z41" i="9"/>
  <c r="Z40" i="9"/>
  <c r="Z39" i="9"/>
  <c r="AA38" i="9"/>
  <c r="Z38" i="9"/>
  <c r="Z37" i="9"/>
  <c r="Z36" i="9"/>
  <c r="Z35" i="9"/>
  <c r="Z34" i="9"/>
  <c r="AA33" i="9"/>
  <c r="Z33" i="9"/>
  <c r="Z32" i="9"/>
  <c r="Z31" i="9"/>
  <c r="Z30" i="9"/>
  <c r="Z29" i="9"/>
  <c r="Z28" i="9"/>
  <c r="Z27" i="9"/>
  <c r="Z26" i="9"/>
  <c r="Z25" i="9"/>
  <c r="Z24" i="9"/>
  <c r="AA23" i="9"/>
  <c r="Z23" i="9"/>
  <c r="Z22" i="9"/>
  <c r="Z21" i="9"/>
  <c r="Z20" i="9"/>
  <c r="Z19" i="9"/>
  <c r="Z18" i="9"/>
  <c r="AA17" i="9"/>
  <c r="Z17" i="9"/>
  <c r="Z16" i="9"/>
  <c r="Z15" i="9"/>
  <c r="Z14" i="9"/>
  <c r="Z13" i="9"/>
  <c r="AE12" i="9"/>
  <c r="AD12" i="9"/>
  <c r="Z12" i="9"/>
  <c r="AE11" i="9"/>
  <c r="AD11" i="9"/>
  <c r="AA11" i="9"/>
  <c r="Z11" i="9"/>
  <c r="Z10" i="9"/>
  <c r="AA9" i="9"/>
  <c r="Z9" i="9"/>
  <c r="Z8" i="9"/>
  <c r="Z7" i="9"/>
  <c r="AA6" i="9"/>
  <c r="Z6" i="9"/>
  <c r="Z5" i="9"/>
  <c r="Z4" i="9"/>
  <c r="Z3" i="9"/>
  <c r="Z2" i="9"/>
  <c r="A27" i="10" l="1"/>
  <c r="Q127" i="9"/>
  <c r="Q124" i="9"/>
  <c r="Q119" i="9"/>
  <c r="Q114" i="9"/>
  <c r="Q111" i="9"/>
  <c r="Q108" i="9"/>
  <c r="Q105" i="9"/>
  <c r="Q91" i="9"/>
  <c r="Q88" i="9"/>
  <c r="Q80" i="9"/>
  <c r="Q77" i="9"/>
  <c r="Q74" i="9"/>
  <c r="Q66" i="9"/>
  <c r="Q63" i="9"/>
  <c r="Q49" i="9"/>
  <c r="Q46" i="9"/>
  <c r="Q38" i="9"/>
  <c r="Q35" i="9"/>
  <c r="Q21" i="9"/>
  <c r="Q18" i="9"/>
  <c r="Q115" i="9"/>
  <c r="Q98" i="9"/>
  <c r="Q70" i="9"/>
  <c r="Q42" i="9"/>
  <c r="Q39" i="9"/>
  <c r="Q109" i="9"/>
  <c r="Q106" i="9"/>
  <c r="Q92" i="9"/>
  <c r="Q89" i="9"/>
  <c r="Q67" i="9"/>
  <c r="Q64" i="9"/>
  <c r="Q36" i="9"/>
  <c r="Q22" i="9"/>
  <c r="Q121" i="9"/>
  <c r="Q116" i="9"/>
  <c r="Q102" i="9"/>
  <c r="Q99" i="9"/>
  <c r="Q96" i="9"/>
  <c r="Q85" i="9"/>
  <c r="Q82" i="9"/>
  <c r="Q71" i="9"/>
  <c r="Q60" i="9"/>
  <c r="Q57" i="9"/>
  <c r="Q54" i="9"/>
  <c r="Q51" i="9"/>
  <c r="Q43" i="9"/>
  <c r="Q40" i="9"/>
  <c r="Q32" i="9"/>
  <c r="Q29" i="9"/>
  <c r="Q26" i="9"/>
  <c r="Q15" i="9"/>
  <c r="Q9" i="9"/>
  <c r="Q7" i="9"/>
  <c r="Q5" i="9"/>
  <c r="Q3" i="9"/>
  <c r="Q87" i="9"/>
  <c r="Q84" i="9"/>
  <c r="Q81" i="9"/>
  <c r="Q8" i="9"/>
  <c r="Q117" i="9"/>
  <c r="Q78" i="9"/>
  <c r="Q75" i="9"/>
  <c r="Q72" i="9"/>
  <c r="Q10" i="9"/>
  <c r="AF7" i="9"/>
  <c r="Q6" i="9"/>
  <c r="Q4" i="9"/>
  <c r="Q129" i="9"/>
  <c r="Q126" i="9"/>
  <c r="Q123" i="9"/>
  <c r="Q118" i="9"/>
  <c r="Q113" i="9"/>
  <c r="Q110" i="9"/>
  <c r="Q107" i="9"/>
  <c r="Q104" i="9"/>
  <c r="Q93" i="9"/>
  <c r="Q90" i="9"/>
  <c r="Q79" i="9"/>
  <c r="Q76" i="9"/>
  <c r="Q73" i="9"/>
  <c r="Q68" i="9"/>
  <c r="Q65" i="9"/>
  <c r="Q48" i="9"/>
  <c r="Q45" i="9"/>
  <c r="Q37" i="9"/>
  <c r="Q34" i="9"/>
  <c r="Q23" i="9"/>
  <c r="Q20" i="9"/>
  <c r="Q11" i="9"/>
  <c r="Q101" i="9"/>
  <c r="Q95" i="9"/>
  <c r="Q17" i="9"/>
  <c r="Q14" i="9"/>
  <c r="Q12" i="9"/>
  <c r="Q128" i="9"/>
  <c r="Q125" i="9"/>
  <c r="Q122" i="9"/>
  <c r="Q103" i="9"/>
  <c r="Q100" i="9"/>
  <c r="Q97" i="9"/>
  <c r="Q94" i="9"/>
  <c r="Q86" i="9"/>
  <c r="Q83" i="9"/>
  <c r="Q69" i="9"/>
  <c r="Q61" i="9"/>
  <c r="Q58" i="9"/>
  <c r="Q55" i="9"/>
  <c r="Q52" i="9"/>
  <c r="Q44" i="9"/>
  <c r="Q41" i="9"/>
  <c r="Q33" i="9"/>
  <c r="Q30" i="9"/>
  <c r="Q27" i="9"/>
  <c r="Q24" i="9"/>
  <c r="Q16" i="9"/>
  <c r="Q13" i="9"/>
  <c r="AD7" i="9"/>
  <c r="Q120" i="9"/>
  <c r="Q62" i="9"/>
  <c r="Q59" i="9"/>
  <c r="Q56" i="9"/>
  <c r="Q53" i="9"/>
  <c r="Q50" i="9"/>
  <c r="Q31" i="9"/>
  <c r="Q28" i="9"/>
  <c r="Q25" i="9"/>
  <c r="Q112" i="9"/>
  <c r="Q47" i="9"/>
  <c r="Q19" i="9"/>
  <c r="A75" i="10" l="1"/>
  <c r="A28" i="10"/>
  <c r="A76" i="10" l="1"/>
  <c r="A29" i="10"/>
  <c r="A77" i="10" l="1"/>
  <c r="A30" i="10"/>
  <c r="A78" i="10" l="1"/>
  <c r="A31" i="10"/>
  <c r="A79" i="10" l="1"/>
  <c r="A32" i="10"/>
  <c r="A80" i="10" l="1"/>
  <c r="A33" i="10"/>
  <c r="A81" i="10" l="1"/>
  <c r="A34" i="10"/>
  <c r="A82" i="10" l="1"/>
  <c r="A35" i="10"/>
  <c r="A83" i="10" l="1"/>
  <c r="A36" i="10"/>
  <c r="A84" i="10" l="1"/>
  <c r="A37" i="10"/>
  <c r="A85" i="10" l="1"/>
  <c r="A38" i="10"/>
  <c r="A86" i="10" l="1"/>
  <c r="A39" i="10"/>
  <c r="A87" i="10" l="1"/>
  <c r="A40" i="10"/>
  <c r="A88" i="10" l="1"/>
  <c r="A41" i="10"/>
  <c r="A89" i="10" l="1"/>
  <c r="A42" i="10"/>
  <c r="A90" i="10" l="1"/>
  <c r="A43" i="10"/>
  <c r="A91" i="10" l="1"/>
  <c r="A44" i="10"/>
  <c r="A92" i="10" l="1"/>
  <c r="A45" i="10"/>
  <c r="A93" i="10" l="1"/>
  <c r="A46" i="10"/>
  <c r="A94" i="1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dpc-covid19-ita-note" type="5" refreshedVersion="6" deleted="1" background="1" saveData="1">
    <dbPr connection="" command=""/>
  </connection>
  <connection id="2" xr16:uid="{E1921844-E99F-42B1-AD90-94134481683B}" keepAlive="1" name="Query - dpc-covid19-ita-province-latest" description="Connessione alla query 'dpc-covid19-ita-province-latest' nella cartella di lavoro." type="5" refreshedVersion="6" refreshOnLoad="1" saveData="1">
    <dbPr connection="Provider=Microsoft.Mashup.OleDb.1;Data Source=$Workbook$;Location=dpc-covid19-ita-province-latest;Extended Properties=&quot;&quot;" command="SELECT * FROM [dpc-covid19-ita-province-latest]"/>
  </connection>
  <connection id="3" xr16:uid="{34E651FF-977F-471B-A1E6-460CB10E1982}" keepAlive="1" name="Query - dpc-covid19-ita-regioni-latest" description="Connessione alla query 'dpc-covid19-ita-regioni-latest' nella cartella di lavoro." type="5" refreshedVersion="6" refreshOnLoad="1" saveData="1">
    <dbPr connection="Provider=Microsoft.Mashup.OleDb.1;Data Source=$Workbook$;Location=dpc-covid19-ita-regioni-latest;Extended Properties=&quot;&quot;" command="SELECT * FROM [dpc-covid19-ita-regioni-latest]"/>
  </connection>
</connections>
</file>

<file path=xl/sharedStrings.xml><?xml version="1.0" encoding="utf-8"?>
<sst xmlns="http://schemas.openxmlformats.org/spreadsheetml/2006/main" count="2955" uniqueCount="612">
  <si>
    <t>https://raw.githubusercontent.com/pcm-dpc/COVID-19/master/dati-province/dpc-covid19-ita-province-latest.csv</t>
  </si>
  <si>
    <t>data</t>
  </si>
  <si>
    <t>stato</t>
  </si>
  <si>
    <t>codice_regione</t>
  </si>
  <si>
    <t>denominazione_regione</t>
  </si>
  <si>
    <t>codice_provincia</t>
  </si>
  <si>
    <t>denominazione_provincia</t>
  </si>
  <si>
    <t>sigla_provincia</t>
  </si>
  <si>
    <t>lat</t>
  </si>
  <si>
    <t>long</t>
  </si>
  <si>
    <t>totale_casi</t>
  </si>
  <si>
    <t>note</t>
  </si>
  <si>
    <t>ITA</t>
  </si>
  <si>
    <t>Abruzzo</t>
  </si>
  <si>
    <t>L'Aquila</t>
  </si>
  <si>
    <t>AQ</t>
  </si>
  <si>
    <t>Teramo</t>
  </si>
  <si>
    <t>TE</t>
  </si>
  <si>
    <t>Pescara</t>
  </si>
  <si>
    <t>PE</t>
  </si>
  <si>
    <t>Chieti</t>
  </si>
  <si>
    <t>CH</t>
  </si>
  <si>
    <t>Fuori Regione / Provincia Autonoma</t>
  </si>
  <si>
    <t>In fase di definizione/aggiornamento</t>
  </si>
  <si>
    <t>Basilicata</t>
  </si>
  <si>
    <t>Potenza</t>
  </si>
  <si>
    <t>PZ</t>
  </si>
  <si>
    <t>Matera</t>
  </si>
  <si>
    <t>MT</t>
  </si>
  <si>
    <t>Calabria</t>
  </si>
  <si>
    <t>Cosenza</t>
  </si>
  <si>
    <t>CS</t>
  </si>
  <si>
    <t>Catanzaro</t>
  </si>
  <si>
    <t>CZ</t>
  </si>
  <si>
    <t>Reggio di Calabria</t>
  </si>
  <si>
    <t>RC</t>
  </si>
  <si>
    <t>Crotone</t>
  </si>
  <si>
    <t>KR</t>
  </si>
  <si>
    <t>Vibo Valentia</t>
  </si>
  <si>
    <t>VV</t>
  </si>
  <si>
    <t>Campania</t>
  </si>
  <si>
    <t>Caserta</t>
  </si>
  <si>
    <t>CE</t>
  </si>
  <si>
    <t>Benevento</t>
  </si>
  <si>
    <t>BN</t>
  </si>
  <si>
    <t>Napoli</t>
  </si>
  <si>
    <t>NA</t>
  </si>
  <si>
    <t>Avellino</t>
  </si>
  <si>
    <t>AV</t>
  </si>
  <si>
    <t>Salerno</t>
  </si>
  <si>
    <t>SA</t>
  </si>
  <si>
    <t>Emilia-Romagna</t>
  </si>
  <si>
    <t>Piacenza</t>
  </si>
  <si>
    <t>PC</t>
  </si>
  <si>
    <t>Parma</t>
  </si>
  <si>
    <t>PR</t>
  </si>
  <si>
    <t>Reggio nell'Emilia</t>
  </si>
  <si>
    <t>RE</t>
  </si>
  <si>
    <t>Modena</t>
  </si>
  <si>
    <t>MO</t>
  </si>
  <si>
    <t>Bologna</t>
  </si>
  <si>
    <t>BO</t>
  </si>
  <si>
    <t>Ferrara</t>
  </si>
  <si>
    <t>FE</t>
  </si>
  <si>
    <t>Ravenna</t>
  </si>
  <si>
    <t>RA</t>
  </si>
  <si>
    <t>Forlì-Cesena</t>
  </si>
  <si>
    <t>FC</t>
  </si>
  <si>
    <t>Rimini</t>
  </si>
  <si>
    <t>RN</t>
  </si>
  <si>
    <t>Friuli Venezia Giulia</t>
  </si>
  <si>
    <t>Udine</t>
  </si>
  <si>
    <t>UD</t>
  </si>
  <si>
    <t>Gorizia</t>
  </si>
  <si>
    <t>GO</t>
  </si>
  <si>
    <t>Trieste</t>
  </si>
  <si>
    <t>TS</t>
  </si>
  <si>
    <t>Pordenone</t>
  </si>
  <si>
    <t>PN</t>
  </si>
  <si>
    <t>Lazio</t>
  </si>
  <si>
    <t>Viterbo</t>
  </si>
  <si>
    <t>VT</t>
  </si>
  <si>
    <t>Rieti</t>
  </si>
  <si>
    <t>RI</t>
  </si>
  <si>
    <t>Roma</t>
  </si>
  <si>
    <t>RM</t>
  </si>
  <si>
    <t>Latina</t>
  </si>
  <si>
    <t>LT</t>
  </si>
  <si>
    <t>Frosinone</t>
  </si>
  <si>
    <t>FR</t>
  </si>
  <si>
    <t>Liguria</t>
  </si>
  <si>
    <t>Imperia</t>
  </si>
  <si>
    <t>IM</t>
  </si>
  <si>
    <t>Savona</t>
  </si>
  <si>
    <t>SV</t>
  </si>
  <si>
    <t>Genova</t>
  </si>
  <si>
    <t>GE</t>
  </si>
  <si>
    <t>La Spezia</t>
  </si>
  <si>
    <t>SP</t>
  </si>
  <si>
    <t>Lombardia</t>
  </si>
  <si>
    <t>Varese</t>
  </si>
  <si>
    <t>VA</t>
  </si>
  <si>
    <t>Como</t>
  </si>
  <si>
    <t>CO</t>
  </si>
  <si>
    <t>Sondrio</t>
  </si>
  <si>
    <t>SO</t>
  </si>
  <si>
    <t>Milano</t>
  </si>
  <si>
    <t>MI</t>
  </si>
  <si>
    <t>Bergamo</t>
  </si>
  <si>
    <t>BG</t>
  </si>
  <si>
    <t>Brescia</t>
  </si>
  <si>
    <t>BS</t>
  </si>
  <si>
    <t>Pavia</t>
  </si>
  <si>
    <t>PV</t>
  </si>
  <si>
    <t>Cremona</t>
  </si>
  <si>
    <t>CR</t>
  </si>
  <si>
    <t>Mantova</t>
  </si>
  <si>
    <t>MN</t>
  </si>
  <si>
    <t>Lecco</t>
  </si>
  <si>
    <t>LC</t>
  </si>
  <si>
    <t>Lodi</t>
  </si>
  <si>
    <t>LO</t>
  </si>
  <si>
    <t>Monza e della Brianza</t>
  </si>
  <si>
    <t>MB</t>
  </si>
  <si>
    <t>Marche</t>
  </si>
  <si>
    <t>Pesaro e Urbino</t>
  </si>
  <si>
    <t>PU</t>
  </si>
  <si>
    <t>Ancona</t>
  </si>
  <si>
    <t>AN</t>
  </si>
  <si>
    <t>Macerata</t>
  </si>
  <si>
    <t>MC</t>
  </si>
  <si>
    <t>Ascoli Piceno</t>
  </si>
  <si>
    <t>AP</t>
  </si>
  <si>
    <t>Fermo</t>
  </si>
  <si>
    <t>FM</t>
  </si>
  <si>
    <t>Molise</t>
  </si>
  <si>
    <t>Campobasso</t>
  </si>
  <si>
    <t>CB</t>
  </si>
  <si>
    <t>Isernia</t>
  </si>
  <si>
    <t>IS</t>
  </si>
  <si>
    <t>P.A. Bolzano</t>
  </si>
  <si>
    <t>Bolzano</t>
  </si>
  <si>
    <t>BZ</t>
  </si>
  <si>
    <t>P.A. Trento</t>
  </si>
  <si>
    <t>Trento</t>
  </si>
  <si>
    <t>TN</t>
  </si>
  <si>
    <t>Piemonte</t>
  </si>
  <si>
    <t>Torino</t>
  </si>
  <si>
    <t>TO</t>
  </si>
  <si>
    <t>Vercelli</t>
  </si>
  <si>
    <t>VC</t>
  </si>
  <si>
    <t>Novara</t>
  </si>
  <si>
    <t>NO</t>
  </si>
  <si>
    <t>Cuneo</t>
  </si>
  <si>
    <t>CN</t>
  </si>
  <si>
    <t>Asti</t>
  </si>
  <si>
    <t>AT</t>
  </si>
  <si>
    <t>Alessandria</t>
  </si>
  <si>
    <t>AL</t>
  </si>
  <si>
    <t>Biella</t>
  </si>
  <si>
    <t>BI</t>
  </si>
  <si>
    <t>Verbano-Cusio-Ossola</t>
  </si>
  <si>
    <t>VB</t>
  </si>
  <si>
    <t>Puglia</t>
  </si>
  <si>
    <t>Foggia</t>
  </si>
  <si>
    <t>FG</t>
  </si>
  <si>
    <t>Bari</t>
  </si>
  <si>
    <t>BA</t>
  </si>
  <si>
    <t>Taranto</t>
  </si>
  <si>
    <t>TA</t>
  </si>
  <si>
    <t>Brindisi</t>
  </si>
  <si>
    <t>BR</t>
  </si>
  <si>
    <t>Lecce</t>
  </si>
  <si>
    <t>LE</t>
  </si>
  <si>
    <t>Barletta-Andria-Trani</t>
  </si>
  <si>
    <t>BT</t>
  </si>
  <si>
    <t>Sardegna</t>
  </si>
  <si>
    <t>Sassari</t>
  </si>
  <si>
    <t>SS</t>
  </si>
  <si>
    <t>Nuoro</t>
  </si>
  <si>
    <t>NU</t>
  </si>
  <si>
    <t>Cagliari</t>
  </si>
  <si>
    <t>CA</t>
  </si>
  <si>
    <t>Oristano</t>
  </si>
  <si>
    <t>OR</t>
  </si>
  <si>
    <t>Sud Sardegna</t>
  </si>
  <si>
    <t>SU</t>
  </si>
  <si>
    <t>Sicilia</t>
  </si>
  <si>
    <t>Trapani</t>
  </si>
  <si>
    <t>TP</t>
  </si>
  <si>
    <t>Palermo</t>
  </si>
  <si>
    <t>PA</t>
  </si>
  <si>
    <t>Messina</t>
  </si>
  <si>
    <t>ME</t>
  </si>
  <si>
    <t>Agrigento</t>
  </si>
  <si>
    <t>AG</t>
  </si>
  <si>
    <t>Caltanissetta</t>
  </si>
  <si>
    <t>CL</t>
  </si>
  <si>
    <t>Enna</t>
  </si>
  <si>
    <t>EN</t>
  </si>
  <si>
    <t>Catania</t>
  </si>
  <si>
    <t>CT</t>
  </si>
  <si>
    <t>Ragusa</t>
  </si>
  <si>
    <t>RG</t>
  </si>
  <si>
    <t>Siracusa</t>
  </si>
  <si>
    <t>SR</t>
  </si>
  <si>
    <t>Toscana</t>
  </si>
  <si>
    <t>Massa Carrara</t>
  </si>
  <si>
    <t>MS</t>
  </si>
  <si>
    <t>Lucca</t>
  </si>
  <si>
    <t>LU</t>
  </si>
  <si>
    <t>Pistoia</t>
  </si>
  <si>
    <t>PT</t>
  </si>
  <si>
    <t>Firenze</t>
  </si>
  <si>
    <t>FI</t>
  </si>
  <si>
    <t>Livorno</t>
  </si>
  <si>
    <t>LI</t>
  </si>
  <si>
    <t>Pisa</t>
  </si>
  <si>
    <t>PI</t>
  </si>
  <si>
    <t>Arezzo</t>
  </si>
  <si>
    <t>AR</t>
  </si>
  <si>
    <t>Siena</t>
  </si>
  <si>
    <t>SI</t>
  </si>
  <si>
    <t>Grosseto</t>
  </si>
  <si>
    <t>GR</t>
  </si>
  <si>
    <t>Prato</t>
  </si>
  <si>
    <t>PO</t>
  </si>
  <si>
    <t>Umbria</t>
  </si>
  <si>
    <t>Perugia</t>
  </si>
  <si>
    <t>PG</t>
  </si>
  <si>
    <t>Terni</t>
  </si>
  <si>
    <t>TR</t>
  </si>
  <si>
    <t>Valle d'Aosta</t>
  </si>
  <si>
    <t>Aosta</t>
  </si>
  <si>
    <t>AO</t>
  </si>
  <si>
    <t>Veneto</t>
  </si>
  <si>
    <t>Verona</t>
  </si>
  <si>
    <t>VR</t>
  </si>
  <si>
    <t>Vicenza</t>
  </si>
  <si>
    <t>VI</t>
  </si>
  <si>
    <t>Belluno</t>
  </si>
  <si>
    <t>BL</t>
  </si>
  <si>
    <t>Treviso</t>
  </si>
  <si>
    <t>TV</t>
  </si>
  <si>
    <t>Venezia</t>
  </si>
  <si>
    <t>VE</t>
  </si>
  <si>
    <t>Padova</t>
  </si>
  <si>
    <t>PD</t>
  </si>
  <si>
    <t>Rovigo</t>
  </si>
  <si>
    <t>RO</t>
  </si>
  <si>
    <t>ricoverati_con_sintomi</t>
  </si>
  <si>
    <t>terapia_intensiva</t>
  </si>
  <si>
    <t>totale_ospedalizzati</t>
  </si>
  <si>
    <t>isolamento_domiciliare</t>
  </si>
  <si>
    <t>totale_positivi</t>
  </si>
  <si>
    <t>variazione_totale_positivi</t>
  </si>
  <si>
    <t>nuovi_positivi</t>
  </si>
  <si>
    <t>dimessi_guariti</t>
  </si>
  <si>
    <t>deceduti</t>
  </si>
  <si>
    <t>casi_da_sospetto_diagnostico</t>
  </si>
  <si>
    <t>casi_da_screening</t>
  </si>
  <si>
    <t>tamponi</t>
  </si>
  <si>
    <t>casi_testati</t>
  </si>
  <si>
    <t>trasformazione nel vecchio format utlizzato nel foglio PrCivP</t>
  </si>
  <si>
    <t>In fase di definizione</t>
  </si>
  <si>
    <t>La Provincia di Brescia ha comunicato dati parziali di 300 casi positivi</t>
  </si>
  <si>
    <t>La Regione Lombardia ha comunicato dati parziali</t>
  </si>
  <si>
    <t>[altre date in fase di caricamento]</t>
  </si>
  <si>
    <t>La Regione Marche ha effettuato un ricalcolo sui decessi: n.3 decessi precedentemente segnalati non risultano classificabili come COVID-19 positivi</t>
  </si>
  <si>
    <t>La Regione Emilia Romagna ha effettuato un ricalcolo dei totali positivi: in seguito a verifica sono stati eliminati 4 casi in quanto duplicati</t>
  </si>
  <si>
    <t>La Regione Marche ha comunicato il seguente ricalcolo: n.4 decessi precedentemente segnalati non risultano classificabili come COVID-19 positivi, la Regione Puglia ha comunicato il seguente ricalcolo: ha eliminato n.1 caso duplicato</t>
  </si>
  <si>
    <t>La Regione Friuli Venezia Giulia riporta una diminuzione dei Guariti,rispetto a ieri, in quanto è stata rilevata una ripositivizzazione, la Regione Piemonte riporta che i dati dei casi totali da diagnosi stanno diminuendo in quanto stanno effettuando un ricalcolo e di conseguenza aumentano i casi da screening</t>
  </si>
  <si>
    <t>La Regione Puglia riporta un caso totale in meno rispetto a ieri perchè ha eliminato un caso duplicato, alla Regione Lazio si aggiungono 21 persone positive a test molecolare per la ricerca di SARS-CoV-2 identificate a seguito di screening effettuato allo sbarco del volo DACCA-FCO atterrato il 6/06/2020 alle 17.45 presso l'aeroporto Leonardo da Vinci di Fiumicino, come da ordinanza regionale</t>
  </si>
  <si>
    <t>La Regione Lazio segnala che al totale dei casi positivi si aggiunge un totale di 37 persone positive a test molecolare per la ricerca di SARS-CoV-2 identificate a seguito di screening effettuato allo sbarco del volo DACCA-FCO atterrato il 6/06/2020 alle 17.45 presso l'aeroporto Leonardo da Vinci di Fiumicino, come da ordinanza regionale</t>
  </si>
  <si>
    <t>Le Regioni Liguria, Piemonte e Valle d'Aosta riportano un numero inferiore di casi diagnostici rispetto a ieri, per un ricalcolo, sono aumentati infatti gli screening. La regione Emilia Romagna comunica che a seguito di un ricontrollo, sono stati eliminati dall'AUsl di Reggio Emilia 16 casi: 15 casi erano doppi inserimenti, un caso è stato riattribuito all'AUsl di Cesena. Il totale dei casi all'08.07 era di 28.740, pertanto l'incremento reale dei casi di oggi è +29</t>
  </si>
  <si>
    <t>La Regione Lazio segnala che si aggiungono ulteriori 12 persone positive a test molecolare per la ricerca di SARS-CoV-2 identificate a seguito di screening effettuato allo sbarco del volo DACCA-FCO atterrato il 6/06/2020 alle 17.45 presso l'aeroporto Leonardo da Vinci di Fiumicino, come da ordinanza regionale. Il totale delle persone positive dal volo in oggetto è 48</t>
  </si>
  <si>
    <t>La Regione Calabria segnala che dallo screening condotto su 70 migranti sbarcati ieri a Roccella Ionica sono stati intercettati 26 soggetti positivi dal laboratorio dell'ASP di Reggio Calabria; in strutture dedicate, appositamente individuate dalla Prefettura</t>
  </si>
  <si>
    <t>La regione Basilicata ha comunicato un ricalcolo: ha eliminato 1 caso inserito erroneamente come nuovo positivo, la regione Calabria ha comunicato che dei 54 soggetti positivi posti in isolamento domiciliare, 13 sono stati trasferiti a Roma, in apposita struttura (Ospedale Celio)</t>
  </si>
  <si>
    <t>La Regione Emilia Romagna comunica il seguente ricalcolo: in seguito a verifica sui dati comunicati nei giorni passati sono stati eliminati 2 casi (1 da Parma e 1 da Ferrara) in quanto ri-classificati non casi COVID-19. Si corregge pertanto il numero totale dei casi positivi comunicato ieri: n. corretto 29.033</t>
  </si>
  <si>
    <t>La Regione Molise segnala che 1 caso del 18 luglio riusulta essere negativo confermato, la Regione Basilicata segnala che nella giornata di domani comunicherà il numero esatto dei casi testati e dei tamponi effettuati</t>
  </si>
  <si>
    <t>La Regione Puglia comunica il seguente ricalcolo: è stato eliminato un caso a seguito di verifica con il laboratorio.</t>
  </si>
  <si>
    <t>La regione Abruzzo comunica il seguente ricalcolo: Sono stati sottratti 2 casi positivi erroneamente conteggiati nei giorni precedenti. La regione Basilicata comunica che dei 36 nuovi casi positivi, 33 sono stati riscontrati in un gruppo di migranti già sottoposti a quarantena.</t>
  </si>
  <si>
    <t>La Regione Emilia Romagna ha comunicato il seguente ricalcolo: In seguito a verifica sui dati comunicati nei giorni passati è stato eliminato 1 caso (da Bologna) in quanto giudicato non caso COVID-19.</t>
  </si>
  <si>
    <t>La Regione Abruzzo comunica il seguente ricalcolo: è stato eliminato n. 1 caso positivo erroneamente comunicato in precedenza. La Regione Basilicata comunica che per la data odierna si confermano i dati del 25 luglio; il 27 luglio sarà comunicato il totale dei tamponi effettuati il 26 e 27 luglio.</t>
  </si>
  <si>
    <t>L'ABRUZZO segnala che i dati di ieri (domenica) sui casi testati e tamponi erano errati. I numeri corretti erano 82245 casi e 124891 tamponi, pertanto il reale incremento rispetto a ieri è (178 casi e 264 tamponi). La SARDEGNA segnala che ha fatto un ricalcolo sul totale dei casi. Due casi dell'Area di Sassari erano stati inseriti erroneamente due volte,pertanto l'incremento dei casi positivi di oggi è 0. Si inserisce un decesso della scorsa settimana rilevato in data odierna appartenente all'Area di Nuoro.</t>
  </si>
  <si>
    <t>La Regione BASILICATA segnala che il notevole incremento dei casi dell'ultima settimana è dovuta a casi di importazione e non autoctoni derivati da attività di screening (N. 38 migranti del Bangladesh, 11 dei quali trasferiti a Roma in apposita struttura (Osp. Celio)+ n. 5 cittadini stranieri e n. 1 residente in Basilicata rientrati rispettivamente da Paesi Esteri e dall'Emilia Romagna. La Regione CALABRIA segnala che l'incremento dei contagi è da correlarsi a 5 casi positivi rilevati tra i migranti sbarcati a Crotone il 25 luglio. La P.A.BOLZANO segnala che i positivi sono 2.692 (oggi + 2 nuovi casi di nuovi positivi rispetto al giorno precedente ma vanno sottratti -10 casi di persone che a seguito di un controllo dei dati sono state conteggiate 2 volte ); quindi il dato dei positivi aggiornato da oggi è 2.700 + 2 -10 = 2.692. La Regione SARDEGNA segnala che il numero dei deceduti si riduce di una unità in seguito a ricalcolo, successivo alla comunicazione dei dati dello stato del caso (da deceduto a guarito) appartenente all'Area di Nuoro e segnalato ieri come deceduto. Si aumenta pertanto il numero dei guariti di una unità.</t>
  </si>
  <si>
    <t>La P.A. BOLZANO comunica che ha effettuato un ricalcolo: ha eliminato 1 caso perché inserito due volte; l'incremento odierno dei nuovi casi positivi è +5.</t>
  </si>
  <si>
    <t>La Regione Emilia Romagna ha comunicato il seguente ricalcolo: In seguito a verifica sono stati eliminati 4 casi (1 da Parma, 1 da Reggio Emilia, 1 da Bologna e 1 da Imola) in quanto inserimenti duplicati dello stesso paziente. Si corregge pertanto il numero dei casi comunicato ieri: n. corretto 29599</t>
  </si>
  <si>
    <t>La Regione Sardegna comunica che i 10 casi positivi di oggi sono di importazione dall'Algeria in giovani migranti.</t>
  </si>
  <si>
    <t>La Regione Calabria comunica che i tre nuovi positivi sono stati intercettati dallo screening condotto su 79 migranti a Crotone. La Regione Emilia Romagna riporta la seguente comunicazione - Si rettifica il numero dei tamponi effettuati comunicato ieri: il numero corretto è di 655.330 (e NON 662.830).</t>
  </si>
  <si>
    <t>La Regione Emilia Romagna ha comunicato il seguente ricalcolo: In seguito a verifica è stato eliminato 1 caso (da Modena) in quanto inserimento duplicato dello stesso paziente con dati anagrafici non corretti. Si corregge pertanto il numero dei casi comunicato ieri: n corretto 29725.</t>
  </si>
  <si>
    <t>La Regione FRIULI VENEZIA GIULIA segnala che a seguito di una verifica interna sulla correttezza e completezza dei dati relativi a COVID-19, sono emersi i seguenti ricalcoli: un decesso occorso in data 22/06 non precedentemente comunicato e 6 casi positivi indicati come casi da screening, in realtà casi da sospetto diagnostico. Si correggono quindi sia il totale dei decessi sia la distribuzione dei casi nelle categorie Casi da sospetto diagnostico e Casi da screening.</t>
  </si>
  <si>
    <t>La regione Basilicata ha comunicato che dei 49 soggetti positivi posti in isolamento domiciliare, 10 sono stati trasferiti a Roma, in apposita struttura (Ospedale Celio)</t>
  </si>
  <si>
    <t>La Regione EMILIA ROMAGNA segnala che in seguito a verifica è stato eliminato 1 casi da Ferrara, in quanto inserimento duplicato dello stesso paziente con dati anagrafici non corretti.</t>
  </si>
  <si>
    <t>La Regione Basilicata segnala che in assenza di casi positivi e variazioni delle altre voci, i dati esatti verranno comunicati nella giornata del 10/08.</t>
  </si>
  <si>
    <t>La Regione Abruzzo comunica che oggi sono risultati 9 nuovi casi positivi. Dal totale però sono stati sottratti 5 casi dei giorni passati, in quanto già in carico ad altre Regioni.</t>
  </si>
  <si>
    <t>La PA Bolzano comunica che oggi è stato eliminato un caso positivo a causa di un doppio inserimento. La Regione Sicilia comunica che dei 42 nuovi positivi di oggi, 5 risultano essere immigrati sbarcati sulle coste siciliane.</t>
  </si>
  <si>
    <t>La Regione Sicilia comunica che dei 36 nuovi positivi, 21 risultano essere immigrati sbarcati sulle coste regionali. La Regione Piemonte comunica che a causa di un guasto tecnico della rete dei sistemi informativi regionali, i nuovi casi positivi di oggi potrebbero essere sottostimati.</t>
  </si>
  <si>
    <t>La Regione Emilia Romagna comunica che a seguito di una verifica interna dei dati sui decessi, la Ausl di Parma ha comunicato 154 decessi avvenuti in marzo, aprile e maggio e finora non conteggiati. La Regione Piemonte comunica che dei 47 nuovi casi positivi, 15 sono diagnosi del 13 agosto inserite in ritardo a causa di un guasto tecnico che ha riguardato la Piattaforma COVID-19 Regione Piemonte. La Sardegna comunica che dei 5 nuovi casi positivi, 4 casi sono attribuibili in migranti del sud Sardegna e 1 caso nella città metropolitana di Cagliari in cittadino di rientro dalla Spagna. La Regione Sicilia comunica che dei 46 nuovi casi positivi, 13 provengono da Malta.</t>
  </si>
  <si>
    <t>La Regione Sicilia comunica che dei 39 nuovi casi positivi, 5 sono migranti sbarcati sulle coste regionali e 10 risultano correlati con casi provenienti da Malta. La Regione Basilicata comunica che il numero dei tamponi effettuati e dei casi testati odierni sarà comunicato con i dati del 17/08 e che 1 caso risultato positivo e segnalato il 15/08 è risultato negativo ai test per SARS Cov2 di II livello eseguito in data odierna. La Regione Sardegna comunica il seguente ricalcolo: è stato eliminato 1 caso della Provincia di Oristano segnalato nei giorni scorsi.</t>
  </si>
  <si>
    <t>La Regione Basilicata comunica che 2 casi già risultati positivi e segnalati il 15.08.2020, sono risultati negativi ai test di conferma per SARS CoV-2 di II livello e detratti dal computo totale.</t>
  </si>
  <si>
    <t>La Regione Sardegna comunica il seguente ricalcolo: dal totale di ieri sono stati eliminati 5 casi in provincia di Nuoro poichè duplicati.</t>
  </si>
  <si>
    <t>La regione sicilia segnala che di 48 soggetti positivi al tampone, 16 sono extracomunitari sbarcati a Pozzallo il 19-20 agosto.</t>
  </si>
  <si>
    <t>La Regione Abruzzo segnala che e' stato sottratto 1 positivo erroneamente calcolato il giorno 21/08. La regione Basilicata segnala che IL NUMERO DEI TAMPONI EFFETTUATI/CASI TESTATI ODIERNO SARA' COMUNICATO CON I DATI DEL 24 AGOSTO 2020. DATO CASI DA SOSPETTO DIAGNOSTICO/CASI DA SCREENING IN CORSO DI VERIFICA PER CORRETTA DEFINIZIONE.</t>
  </si>
  <si>
    <t>La Regione Sicilia comunica che dei 65 nuovi casi positivi, 58 sono immigrati ospiti dell'Hotspot di Lampedusa.</t>
  </si>
  <si>
    <t>La Regione Emilia Romagna comunica il seguente ricalcolo: In seguito a verifica sono stati eliminati 2 casi ( 1 da Forlì e 1 da Parma) in quanto inserimento duplicato dello stesso paziente con dati anagrafici non corretti. Si corregge pertanto il numero dei casi comunicato ieri: n corretto 31029. La Regione Lazio comunica che ai tamponi riportati si aggiungono 8.495 tamponi rapidi eseguiti dal 17/08 presso gli aeroporti di Fiumicino e Ciampino.</t>
  </si>
  <si>
    <t>La Regione Abruzzo comunica il seguente ricalcolo: dal totale è stato sottratto 1 caso di lunedì scorso, in quanto già in carico ad altra Regione. La Regione Sicilia comunica che dei 33 nuovi positivi, 3 sono ospiti dell'hotspot di Lampedusa</t>
  </si>
  <si>
    <t>La Regione Sardegna comunica che dal totale dei casi vengono sottratte due unità nella provincia di Nuoro, già dichiarati in data 23/08 ma con ripetuti tamponi negativi.</t>
  </si>
  <si>
    <t>La Regione Abruzzo segnala che: Oggi sono risultati 21 nuovi casi positivi. Dal totale però è stato sottratto 1 caso dei giorni passati, in quanto già in carico ad altra Regione. La Regione Calabria segnala che : Dei dieci positivi di oggi cinque sono del CARA di Crotone. La Regione Emilia Romagna segnala che : In seguito a verifica sono stati eliminati 2 casi (entrambi da Bologna) in quanto inserimento duplicato dello stesso paziente con dati anagrafici non corretti. Si corregge pertanto il numero dei casi comunicato ieri: n corretto 31.383. La Regione Sicilia segnala che:DEI NUOVI 54 SOGGETTI POSITIVI AL TAMPONE, 5 SONO IMMIGRATI OSPITI DEL CENTRO DI ACCOGLIENZA DI AGRIGENTO, 5 PROVENIENTI DALLA REGIONE CAMPANIA ED UNO DAL VENEZUELA.</t>
  </si>
  <si>
    <t>La Regione Sicilia comunica che dei 29 positivi di oggi, 5 sono migranti ospiti dei centri di accoglienza (1 Agrigento, 3 Pozzallo e 1 Marzamemi).</t>
  </si>
  <si>
    <t>La regione CALABRIA segnala che: I due casi di Crotone sono del focolaio del CARA (migranti). Il caso di Cosenza è riconducibile  ai giovani rientrati da Corfù. La regione FRIULI VENEZIA GIULIA segnala che: a seguito di una verifica interna sulla correttezza dei dati relativi a COVID-19, è emerso un decesso occorso in data 12/07 non precedentemente comunicato. Si corregge quindi il totale dei decessi. La regione SICILIA segnala che:  che degli 89 soggetti, nuovi positivi al tampone, 71 sono extracomunitari sbarcati sulle coste regionali.</t>
  </si>
  <si>
    <t>La Regione Basilicata comunica che il numero dei tamponi e dei casi testati di oggi sarà comunicato insieme ai dati di domani 31.08.2020; La Regione Sicilia comunica che dei 34 casi positivi di oggi, 4 sono migranti e 5 sono mediatori culturali del centro di accoglienza di Pietraperzia-Enna; La Regione Calabria comunica che dei 34 casi positivi di oggi, 10 sono migranti; La Regione Valle D'Aosta comunica che un caso dichiarato guarito il 24.04.2020 è ritornato positivo e ricoverato.</t>
  </si>
  <si>
    <t>La Calabria comunica il seguente ricalcolo: il numero corretto dei tamponi effettuati il 30.08.2020 è 154.919; La Regione Sicilia comunica che dei 26 soggetti positivi, 2 sono migranti ospiti dei centri di accoglienza di Lampedusa e Catania; La Regione Veneto comunica il seguente ricalcolo: il numero corretto dei guariti e dell'isolamento domiciliare del giorno 29.08.20 è rispettivamente 18.290 e 2.285; il numero corretto dei guariti e dell'isolamento domiciliare del giorno 30.08.20 è rispettivamente 18.399 e 2.286;</t>
  </si>
  <si>
    <t>La Regione Abruzzo comunica il seguente ricalcolo: sono stati sottratti 2 casi positivi segnalati nei giorni passati, in quanto già in carico ad altre Regioni. La Regione Basilicata comunica il seguente ricalcolo: è stato sottratto 1 caso positivo in un soggetto residente in Basilicata ma proveniente da Stato estero, segnalato il 28.08.2020 ma non confermato dai 2 tamponi di controllo processati presso il laboratorio regionale di riferimento. La Regione Calabria comunica che dei ventidue soggetti positivi di oggi, 17 sono migranti e 2 residenti fuori regione. La Regione Sicilia comunica che dei 33 positivi di oggi, 5 sono migranti</t>
  </si>
  <si>
    <t>La Regione Calabria comunica che dei 32 nuovi casi positivi rilevati oggi, 27 sono migranti. La Regione Sicilia comunica che degli 83 nuovi casi positivi rilevati oggi, 26 sono migranti (n.16 centro accoglienza Agrigento, n.1 Trapani, n. 9 Lampedusa)</t>
  </si>
  <si>
    <t>La regione Calabria segnala che dei tredici positivi di oggi due sono migranti</t>
  </si>
  <si>
    <t>La Regione Calabria segnala che di 19 positivi di oggi sei sono migranti. La Regione Emilia Romagna segnala che in seguito a verifica sui dati comunicati nei giorni passati è stato eliminato 1 caso da Bologna in quanto giudicato non casi COVID-19. Si corregge pertanto il numero totale dei casi positivi comunicato ieri: n corretto 32246-1. La Regione Sicilia segnala che dei 78 casi positivi, si rilevano n.6 migranti (n.4 Pozzallo, n.2 Siracusa)La Regione Veneto segnala che 50 casi sono riferiti ad un laboratorio che ha caricato i casi successivamente e che risalgono ai primi 15 gg di agosto.</t>
  </si>
  <si>
    <t>La Regione Abruzzo segnala che dal totale dei positivi è stato sottratto 1 caso precedentemente conteggiato 2 volte. La Regione Calabria segnala che dei 19 positivi di oggi 6 sono migranti. La Regione Sicilia segnala che dei nuovi 114 soggetti positivi , 10 sono immigrati ospiti sulla motonave Allegra nel porto di Tapani.</t>
  </si>
  <si>
    <t>La Regione CALABRIA segnala che dei 27 positivi di oggi 8 sono migranti. La Regione Emilia Romagna segnala che in seguito a verifica sui dati comunicati nei giorni scorsi è stato eliminato 1 caso da Reggio Emilia in quanto giudicato non caso COVID-19. Si corregge pertanto il numero totale dei casi positivi comunicato ieri: n corretto 32.504. In seguito a verifica, un decesso precedentemente comunicato è stato giudicato non attribuibile a COVID-19. Si corregge pertanto il numero totale dei decessi comunicato ieri: n corretto 4.463. La Regione Sicilia segnala che DEI NUOVI 37 SOGGETTI POSITIVI AL TAMPONE, 8 sono Immigrati ospiti nei Centri di Accoglienza</t>
  </si>
  <si>
    <t>La Regione Sicilia comunica che dei 49 nuovi positivi di oggi, 15 sono ospiti dell'hotspot di Lampedusa; La Regione Campania comunica che l'incremento odierno dei casi positivi è 218, sebbene la differenza tra il totale dei casi positivi di oggi e quello di ieri è 260 poiché 42 casi positivi sono da attribuire ai giorni scorsi (residuo screening); La Regione Calabria comunica che dei 17 nuovi positivi di oggi, 3 sono migranti;</t>
  </si>
  <si>
    <t>La Regione Abruzzo comunica che dal totale dei casi positivi è stato sottratto 1 caso segnalato nei giorni passati, in quanto già in carico ad altra Regione.</t>
  </si>
  <si>
    <t>La Regione Abruzzo comunica che dal totale dei casi positivi sono stati sottratti 3 casi di ieri, in quanto in carico ad altra Regione. La Regione Emilia Romagna comunica che in seguito a verifica sui dati comunicati nei giorni passati è stato eliminato 1 caso in quanto giudicato non caso COVID-19. Si corregge pertanto il numero totale dei casi positivi comunicato ieri: n corretto TOT 32.853.</t>
  </si>
  <si>
    <t>La Regione Sicilia comunica che dei 104 nuovi positivi di oggi, 11 sono migranti ospiti presso la nave Azzurra in rada al porto di Augusta.</t>
  </si>
  <si>
    <t>La Regione Calabria comunica che dei 18 soggetti positivi di oggi, 7 sono migranti e 1 è un soggetto residente fuori Regione</t>
  </si>
  <si>
    <t>La Regione Calabria comunica che dei 14 positivi di oggi, 2 sono migranti. La Regione Emilia Romagna comunica il seguente ricalcolo: In seguito a verifica sui dati comunicati nei giorni passati sono stati eliminati 2 casi in quanto giudicati non casi COVID-19. Si corregge pertanto il numero totale dei casi positivi comunicato ieri: n corretto 33.361. La Regione Sicilia comunica che dei 61 positivi di oggi, 3 sono migranti (1 a Siracusa e 2 a Ragusa). La Regione Sardegna comunica che il numero totale dei ricoverati non in T.I. è stato aggiornato con i dati reperiti in data odierna dal P.O. San Francesco di Nuoro.</t>
  </si>
  <si>
    <t>La Regione Sicilia comunica che dei 65 nuovi casi positivi di oggi, 6 sono migranti ospiti presso l'hotspot di Lampedusa.</t>
  </si>
  <si>
    <t>La Regione Sicilia comunica che dei 77 nuovi casi positivi di oggi, 2 sono migranti ospiti presso l'hotspot di Lampedusa.</t>
  </si>
  <si>
    <t>La Regione Calabria comunica che dei 19 nuovi casi positivi di oggi, 8 sono migranti. La Valle D'Aosta comunica che ieri, 15 settembre, per mero errore materiale sono stati inseriti n. 131 casi da screening anziché 130, pertanto oggi tale dato è stato aggiornato correttamente.</t>
  </si>
  <si>
    <t>La Regione Sicilia comunica che dei 96 nuovi casi positivi di oggi, 2 sono migranti ospiti presso l'hotspot di Lampedusa. La Regione Calabria comunica che dei 16 nuovi casi positivi di oggi, 3 sono migranti. La Regione Abruzzo comunica che oggi sono risultati 33 nuovi casi positivi. Dal totale però sono stati sottratti 2 casi dei giorni passati, in quanto già in carico ad altre Regioni.</t>
  </si>
  <si>
    <t>La Regione Sicilia comunica che dei 179 nuovi casi positivi di oggi, 21 sono ospiti della Comunità 'Biagio Conte' e 37 sono migranti ospiti degli hotspot siciliani. La Regione Calabria comunica che dei 28 nuovi casi positivi di oggi, 12 sono migranti.</t>
  </si>
  <si>
    <t>La Regione Abruzzo comunica che non sarà possibile elaborare i dati COVID per i giorni 19 e 20 settembre. Per questi giorni verrano riportati gli stessi valori del 18 settembre; l'aggiornamento avverrà il 21 settembre. La Regione Calabria comunica che dei 25 nuovi casi positivi di oggi, 4 sono migranti. La Regione Sicilia comunica che dei 98 nuovi casi positivi di oggi, 1 è migrante. La Regione Emilia Romagna comunica che in seguito a verifica sui dati comunicati nei giorni passati è stato eliminato 1 casi (da Reggio Emilia) in quanto giudicato non caso COVID-19. Si corregge pertanto il numero totale dei casi positivi comunicato ieri: n corretto di ieri 34.092.</t>
  </si>
  <si>
    <t>La Regione Abruzzo comunica che non sarà possibile elaborare i dati COVID per i giorni 19 e 20 settembre. Per questi giorni verrano riportati gli stessi valori del 18 settembre; l'aggiornamento avverrà il 21 settembre. La Regione Sicilia comunica che dei nuovi 116 soggetti positivi al tampone,66 sono ospiti della comunità 'Biagio Conte' di Palermo.</t>
  </si>
  <si>
    <t>La Regione Abruzzo comunica che l'aggiornamento riportato fa riferimento a 3 giorni (sabato, domenica e lunedì). La Regione Sicilia comunica che dei 75 nuovi casi positivi di oggi, 21 sono ospiti della comunità 'Biagio Conte' di Palermo.</t>
  </si>
  <si>
    <t>La Regione Calabria comunica che dei 24 nuovi casi positivi di oggi, 20 sono migranti. La Regione Emilia Romagna comunica che in seguito a verifica è stato eliminato 1 caso in quanto inserimento duplicato dello stesso paziente con dati anagrafici non corretti. Si corregge pertanto il numero dei casi comunicato ieri: n corretto 34.455. La Regione Sicilia comunica che dei 108 nuovi casi positivi di oggi, 5 sono ospiti della comunità 'Biagio Conte' (Palermo)</t>
  </si>
  <si>
    <t>La Regione Sicilia comunica che degli 89 nuovi casi positivi di oggi, 9 risultano ospiti della comunità 'Biagio Conte' e 1 migrante (Hotspot Lampedusa). La Regione Calabria comunica che dei 19 nuovi casi positivi di oggi, 1 è migrante</t>
  </si>
  <si>
    <t>La Regione Sicilia comunica che dei 125 nuovi casi positivi di oggi, 2 sono migranti ospiti presso l'hotspot di Lampedusa. La Regione Calabria comunica che dei 9 nuovi casi positivi di oggi, 3 sono migranti.</t>
  </si>
  <si>
    <t>La Regione Sicilia comunica che dei 107 nuovi casi positivi di oggi, si rilevano n.6 migranti ospiti presso l'hotspot di Lampedusa</t>
  </si>
  <si>
    <t>La Regione Sicilia ha comunicato che dei 107 nuovi casi positivi di oggi, 7 sono migranti ospiti dell'Hotspot di Lampedusa. La Regione Calabria ha comunicato che dei 31 nuovi casi positivi di oggi, 24 sono migranti. La Regione Basilicata ha comunicato che l'aumento del numero di casi odierno rispetto al trend dei giorni scorsi è dovuto ad un cluster in una casa di riposo (28 casi tra assistiti e operatori sanitari) e all'attività di contract tracing.</t>
  </si>
  <si>
    <t>La Regione ABRUZZO segnala che dai positivi è stato sottratto un caso di ieri già in carico ad altra regione. La Regione CALABRIA segnala che dei 10 positivi di oggi tre sono migranti. La Regione SICILIA segnala che dei nuovi positivi, n.2 migranti ospiti presso l'hotspot di Lampedusa.</t>
  </si>
  <si>
    <t>La Regione Abruzzo segnala che dai positivi è stato sottratto un caso di ieri già in carico ad altra regione. La Regione Calabria segnala che dei18 positivi di oggi 4 sono migranti. La Regione Sardegna segnala 3 nuovi decessi: - 2 persone residenti nel territorio della Provincia del Sud Sardegna, uno ricoverato di 78 anni, uno deceduto all'accesso in Pronto Soccorso presso l'ospedale Santissima Trinità di Cagliari, di 75 anni; - 1 persona residente nel territorio della Provincia di Sassari, di 90 anni, con plurime comorbilità. La Regione Sicilia segnala che dei 170 nuovi positivi, si rilevano 29 militari della marina sbarcati a Siracusa dalla Nave Margottini</t>
  </si>
  <si>
    <t>La Regione Sardegna segnala che l'incremento del n° dei ricoverati scaturisce da un errato conteggio del 29 settembre. Si segnala: decesso di pz di 78 aa ricoverato a Cagliari residente nella provincia di Oristano.</t>
  </si>
  <si>
    <t>La Regione Calabria segnala che dei 18 positivi di oggi uno è un migrante. La Regione Piemonte segnala che dei 219 casi, 58 sono riallineamenti riferiti alla giornata di ieri.</t>
  </si>
  <si>
    <t>La Regione Calabria segnala che dei 24 positivi di oggi 4 sono migranti. La Regione Emilia Romagna segnala che in seguito a verifica sui dati comunicati nei giorni passati è stato eliminato 1 caso da Modena in quanto giudicato non caso COVID-19. Si corregge pertanto il numero totale dei casi positivi comunicato ieri: n corretto 35.576. La Regione Sicilia segnala che dei 182 nuovi positivi, si rilevano n.2 migranti ospiti presso l'hotspot di Lampedusa.</t>
  </si>
  <si>
    <t>La Regione Calabria segnala che dei 23 positivi di oggi 4 sono migranti.</t>
  </si>
  <si>
    <t>La Regione Abruzzo segnala che oggi sono stati riscontrati n.50 nuovi positivi, ma sono stati sottratti dal totale 2 casi dei giorni passati in quanto già in carico ad altre Regioni. La Regione Calabria segnala che dei 23 positivi di oggi 23 sono migranti. La Regione Sicilia segnala che dei 198 nuovi positivi, si rilevano n.2 migranti.</t>
  </si>
  <si>
    <t>La regione Abruzzo segnala che Dai positivi è stato sottratto un caso comunicato il 5/10 già in carico ad altra regione. La regione Basilicata segnala che N. 10 CASI POSITIVI ODIERNI E SEGNALATI NEL COMPUTO TOTALE DEI NUOVI CASI SI RIFERISCONO A RESIDENTI IN ISOLAMENTO IN PUGLIA CHE HANNO UTILIZZATO PER L'ESECUZIONE E LA DIAGNOSI DI SARS CoV-2 LABORATORI ACCREDITATI DELLA REGIONE BASILICATA.</t>
  </si>
  <si>
    <t>La Regione Basilicata segnala che N. 02 CASI POSITIVI ODIERNI E SEGNALATI NEL COMPUTO TOTALE DEI NUOVI CASI SI RIFERISCONO A RESIDENTI IN ISOLAMENTO IN PUGLIA CHE HANNO UTILIZZATO PER L'ESECUZIONE E LA DIAGNOSI DI SARS CoV-2 LABORATORI ACCREDITATI DELLA REGIONE BASILICATA. La Regione Sicilia segnala che Dei 259 nuovi positivi, si rileva n.1 migrante. La Regione Umbria segnala che i casi testati di ieri erano 130552 e non come erroneamente digitato 135552; oggi il dato corretto è quello riportato, ossia 131965.</t>
  </si>
  <si>
    <t>La Regione Calabria segnaladei n.42 casi positivi di oggi, 3 sono migranti.</t>
  </si>
  <si>
    <t>Protezione Civile  Master database</t>
  </si>
  <si>
    <t>https://github.com/pcm-dpc/COVID-19/tree/master</t>
  </si>
  <si>
    <t>https://raw.githubusercontent.com/pcm-dpc/COVID-19/master/dati-province/dpc-covid19-ita-province.csv</t>
  </si>
  <si>
    <t>https://raw.githubusercontent.com/pcm-dpc/COVID-19/master/note/dpc-covid19-ita-note.csv</t>
  </si>
  <si>
    <t>2020-10-12T17:00:00,"La Regione Calabria comunica che dei 53 nuovi casi positivi di oggi,21 sono migranti."</t>
  </si>
  <si>
    <t>2020-10-13T17:00:00,"La regione Calabria comunica che dei 44 nuovi casi positivi di oggi, 4 sono migranti; La regione Emilia Romagna comunica il seguente ricalcolo: In seguito a verifica sui dati comunicati nei giorni passati sono stati eliminati 3 casi in quanto giudicati non casi COVID-19; si corregge pertanto il numero dei casi comunicato ieri: n corretto 38.015."</t>
  </si>
  <si>
    <t>2020-10-15T17:00:00,"La Regione Abruzzo comunica il seguente ricalcolo: Dal totale è stato sottratto un caso comunicato nei giorni scorsi in quanto conteggiato 2 volte. La Regione Sicilia comunica che dei 399 nuovi casi positivi di oggi, si rilevano n.14 migranti ospiti presso l'hotspot di Lampedusa"</t>
  </si>
  <si>
    <t>2020-10-16T17:00:00,"La Regione Abruzzo comunica il seguente ricalcolo: Dal totale è stato sottratto un caso segnalato nei giorni passati, in quanto già in carico ad altra Regione."</t>
  </si>
  <si>
    <t>2020-10-19T17:00:00,"La Regione Campania comunica il seguente ricalcolo: il numero dei deceduti di oggi fa riferimento al periodo a partire dal 01.10.20 per tardiva comunicazione di decessi avvenuti al di fuori del territorio delle rispettive ASL di competenza. La Regione Emilia Romagna comunica il seguente ricalcolo: in seguito a verifica sui dati comunicati nei giorni passati è stato eliminato 1 caso ( da Rimini ) in quanto giudicato non caso COVID-19. Si corregge pertanto il numero totale dei casi comunicati ieri. il numero corretto è 40858."</t>
  </si>
  <si>
    <t>2020-10-20T17:00:00,"La Regione Abruzzo comunica il seguente ricalcolo: Dai casi totali sono stati sottratti 3 positivi; due di questi in quanto conteggiati 2 volte nei giorni scorsi e 1 caso in quanto già in carico ad altra regione. La Regione Campania comunica che il numero dei deceduti è riferito al periodo a partire dal 13.10.20 per tardiva comunicazione di decessi avvenuti al di fuori del territorio delle rispettive ASL di competenza."</t>
  </si>
  <si>
    <t>2020-10-22T17:00:00,"La Regione Toscana comunica che sono stati effettuati 758 tamponi antigenici rapidi in aggiunta ai test in PCR comunicati La Regione Abruzzo comunica il seguente ricalcolo: dal totale dei positivi è stato sottratto un caso dei giorni passati, in quanto nominativo duplicato (conteggiato due volte)"</t>
  </si>
  <si>
    <t>2020-10-24T17:00:00,"La Regione Basilicata comunica il seguente ricalcolo: è stato eliminato 1 caso erroneamente comunicato in data 23 ottobre. La Regione Emilia Romagna comunica il seguente ricalcolo: In seguito a verifica sui dati comunicati nei giorni passati sono stati eliminati 3 casi (da Ausl Bologna) in quanto giudicati non casi COVID-19."</t>
  </si>
  <si>
    <t>2020-10-25T17:00:00,"La Calabria comunica che dei 179 nuovi casi positivi di oggi, 3 sono identificati in soggetti migranti."</t>
  </si>
  <si>
    <t>2020-10-26T17:00:00,"La Regione Abruzzo comunica che dal totale sono stati sottratti 2 casi dei giorni passati in quanto pazienti già in carico in altre Regioni e/o casi duplicati. La Regione Emilia Romagna comunica che in seguito a verifica sui dati comunicati nei giorni passati sono stati eliminati 3 casi in quanto giudicati non casi COVID-19. Si corregge pertanto il numero totale dei casi comunicato ieri: N° corretto 46.731."</t>
  </si>
  <si>
    <t>2020-10-27T17:00:00,"La Regione Emilia Romagna comunica che in seguito a verifica sui dati comunicati nei giorni passati sono stati eliminati 5 casi in quanto giudicati non casi COVID-19. Si corregge pertanto il numero totale dei casi positivi comunicato ieri: n° corretto 47.872"</t>
  </si>
  <si>
    <t>2020-10-28T17:00:00,"La Regione Emilia Romagna comunica che in seguito a verifica sui dati comunicati nei giorni passati sono stati eliminati 3 casi in quanto giudicati non casi COVID-19. Si corregge pertanto il numero totale dei positivi comunicato ieri: n° corretto 49.282."</t>
  </si>
  <si>
    <t>2020-10-29T17:00:00,"La Regione Abruzzo comunica che dal totale dei positivi è stato eliminato un caso di ieri in quanto duplicato. La Regione Emilia Romagna comunica che in seguito a verifica sui dati comunicati nei giorni passati è stato eliminato 1 caso in quanto giudicato non caso COVID-19. Si corregge pertanto il dato dei casi totali positivi comunicato ieri: n°corretto 50.493."</t>
  </si>
  <si>
    <t>2020-10-30T17:00:00,"La Regione Calabria comunica che i casi totali a ieri erano 4.624 (e non 4.625). La Regione Emilia Romagna comunica che in seguito a verifica sui dati comunicati nei giorni passati sono stati eliminati 4 casi in quanto giudicati non casi COVID-19."</t>
  </si>
  <si>
    <t>2020-10-31T17:00:00,"La regione Emilia Romagna segnala che in seguito a verifica sui dati sono stati eliminati due casi in quanto giudicati non casi COVID-19"</t>
  </si>
  <si>
    <t>2020-11-01T17:00:00,"La regione Emilia-Romagna segnala che in seguito a verifica sui dati sono stati eliminati 2 casi in quanto giudicati non casi COVID-19."</t>
  </si>
  <si>
    <t>2020-11-02T17:00:00,"La Regione Campania comunica che, in data odierna, i dati della Provincia di Benevento non sono pervenuti."</t>
  </si>
  <si>
    <t>2020-11-03T17:00:00,"La Regione Emilia Romagna comunica che in seguito a verifica sui dati sono stati eliminati 3 casi in quanto giudicati non casi COVID-19; La Regione Toscana comunica che un problema tecnico al sistema informativo della prevenzione ha determinato problemi di estrazione a scapito della completa attribuzione delle province. Nei dati di oggi vi sono quindi 373 nuovi casi con provincia in fase di verifica che si provvederà ad attribuire domani."</t>
  </si>
  <si>
    <t>2020-11-04T17:00:00,"La Regione Campania comunica che nei dati di ieri, per mero errore materiale, sono stati aggiunti 45 posti di Terapia Intensiva in più. La Regione Emilia Romagna comunica che in seguito a verifica sui dati sono stati eliminati 2 casi in quanto giudicati non casi COVID-19. La Regione Calabria comunica che ieri c'è stato un aggiornamento del bollettino regionale, che riporta una modifica nella distribuzione dei casi ricoverati e terapie intensive. Tale modifica è stata effettuata a seguito delle comunicazioni pervenute dall’azienda ospedaliera di Reggio Calabria e dall’Azienda ospedaliera di Cosenza."</t>
  </si>
  <si>
    <t>2020-11-05T17:00:00,"La Regione Emilia Romagna comunica che in seguito a verifica sui dati sono stati eliminati 3 casi in quanto giudicati non casi COVID-19. La Regione Calabria comunica che il numero dei decessi a ieri era 124, e non 125. La Regione Toscana comunica che il numero dei decessi a ieri era 1445, e non 1461. Il numero dei decessi nel report è stato aggiornato correttamente."</t>
  </si>
  <si>
    <t>2020-11-06T17:00:00,"La Regione Abruzzo comunica che dal totale dei casi positivi sono stati eliminati 3 casi del 05/11/2020 in quanto duplicati e un caso in quanto già in carico ad altra regione. La Regione Emilia Romagna comunica che in seguito a verifica sui dati comunicati nei giorni passati sono stati eliminati 3 casi in quanto giudicati non casi COVID-19."</t>
  </si>
  <si>
    <t>2020-11-07T17:00:00,"La Regione Emilia Romagna comunica che in seguito a verifica sui dati comunicati nei giorni passati è stato eliminato 1 caso in quanto giudicato non caso COVID-19; La Regione Abruzzo comunica che dal totale dei casi positivi è stato eliminato 1 caso in quanto duplicato."</t>
  </si>
  <si>
    <t>2020-11-08T17:00:00,"La Regione Abruzzo comunica che dal totale dei casi positivi è stato eliminato 1 caso in quanto paziente non covid; La Regione Emilia Romagna comunica che in seguito a verifica sui dati comunicati nei giorni passati è stato eliminato 1 caso in quanto giudicato non caso COVID-19;"</t>
  </si>
  <si>
    <t>2020-11-09T17:00:00,"La Regione Abruzzo comunica che dal totale dei casi positivi è stato eliminato 1 caso in quanto duplicato; La Regione Emilia Romagna comunica che in seguito a verifica sui dati comunicati nei giorni passati è stato eliminato 1 caso in quanto giudicato non caso COVID-19."</t>
  </si>
  <si>
    <t>2020-11-10T17:00:00,"La Regione Abruzzo segnala che sono stati conteggiati anche 21 decessi delle scorse 3 settimane, comunicati oggi dalla ASL 201 ed il cui dettaglio é stato inserito oggi nel portale ISS. Oggi è stato sottratto 1 caso dal totale dei positivi, a seguito di controlli sui dati anagrafici. La Regione Emilia Romagna segnala che in seguito a verifica sui dati comunicati nei giorni passati sono stati eliminati 7 casi in quanto giudicati non casi COVID-19."</t>
  </si>
  <si>
    <t>2020-11-12T17:00:00,"La Regione Emilia Romagna comunica che in seguito a verifica sui dati comunicati nei giorni passati è stato eliminato 1 caso in quanto giudicato non caso COVID-19."</t>
  </si>
  <si>
    <t>2020-11-14T17:00:00,"La regione BASILICATA segnala che i totali tamponi effettuati/casi testati e i totali dei casi positivi sono in corso di revisione. La regione Emilia Romagna segnala che in seguito a verifica sui dati comunicati nei giorni passati sono stati eliminati 6 casi in quanto giudicati non casi COVID-19."</t>
  </si>
  <si>
    <t>2020-11-15T17:00:00,"La regione ABRUZZO segnala che dal totale dei positivi è stato eliminato 1 caso del 14/11/2020 in quanto duplicato. La regione EMILIA ROMAGNA segnala che in seguito a verifica sui dati comunicati nei giorni passati è stato eliminato 1 caso in quanto giudicato non caso COVID-19. La regione UMBRIA segnala che nel computo dei ricoverati in T.I. è considerato un caso trasferito da altra Regione, non considerato quindi dalla Regione Umbria come nuovo positivo. Di conseguenza il reale numero degli isolamenti dom. è 10659."</t>
  </si>
  <si>
    <t>2020-11-16T17:00:00,"La Regione Abruzzo comunica che dal totale dei positivi è stato eliminato 1 caso in quanto non paziente COVID; La Regione Emilia Romagna comunica che in seguito a verifica sui dati comunicati nei giorni passati è stato eliminato 1 caso in quanto giudicato non caso COVID-19;"</t>
  </si>
  <si>
    <t>2020-11-18T17:00:00,"La Regione Friuli Venezia Giulia comunica che nei dati odierni sono inclusi 54 casi positivi censiti dal 28 ottobre al 12 novembre e recuperati dal flusso informativo proveniente dai laboratori privati. La Regione Emilia Romagna comunica che in seguito a verifica sui dati comunicati nei giorni passati sono stati eliminati 2 casi in quanto giudicati non casi COVID-19. La Regione Calabria comunica che il numero dei tamponi di oggi comprende tamponi eseguiti nei gg precedenti e processati fuori regione."</t>
  </si>
  <si>
    <t>2020-11-19T17:00:00,"La Regione Friuli Venezia Giulia comunica che a seguito delle comunicazioni pervenute dai laboratori privati, i nuovi casi includono 196 positività comprese nel periodo dal 28 ottobre al 15 novembre. La Regione Piemonte comunica che il numero di tamponi odierno è sensibilmente superiore alla media giornaliera di tamponi effettuati in Piemonte perché include il caricamento di una quota di dati relativa agli screening effettuati nei giorni scorsi all’interno delle RSA."</t>
  </si>
  <si>
    <t>2020-11-20T17:00:00,"La Regione Emilia Romagna comunica che in seguito a verifica sui dati comunicati nei giorni passati sono stati eliminati 3 casi in quanto giudicati non casi COVID-19. La Regione Friuli Venezia Giulia comunica che i nuovi casi di oggi includono 85 casi registrati dai laboratori privati fra il 29 ottobre e il 14 novembre."</t>
  </si>
  <si>
    <t>2020-11-21T17:00:00,"La Regione Abruzzo comunica che in data odierna sono stati conteggiati 26 decessi avvenuti nelle settimane precedenti e non ancora comunicati. La Regione Emilia Romagna comunica che in seguito a verifica sui dati comunicati nei giorni passati sono stati eliminati 3 casi in quanto giudicati non casi COVID-19. La Regione Basilicata comunica che è in corso di revisione il dati sul totale casi testati e sul totale tamponi effettuati. La Regione Friuli Venezia Giulia comunica che nei casi odierni sono compresi 88 casi registrati oggi a sistema dal flusso dati dei laboratori privati (date di prelievo comprese fra il 27 ottobre e 17 novembre)"</t>
  </si>
  <si>
    <t>2020-11-22T17:00:00,"La Regione Friuli Venezia Giulia comunica che i nuovi casi di oggi includono 109 casi da laboratori privati di cui 67 compresi nel periodo dal 4 al 18 novembre."</t>
  </si>
  <si>
    <t>2020-11-23T17:00:00,"La Regione Emilia Romagna comunica che in seguito a verifica sui dati comunicati nei giorni passati sono stati eliminati 3 casi in quanto giudicati non casi COVID-19. La Regione Friuli Venezia Giulia comunica che i nuovi casi di oggi comprendono 70 positività rilevate da laboratori privati nel periodo 9-21 novembre"</t>
  </si>
  <si>
    <t>2020-11-24T17:00:00,"La Regione Abruzzo comunica che dal totale dei casi positivi sono stati sottratti 2 casi del giorno 23/11 in quanto non pazienti COVID. La Regione Basilicata comunica che il numero odierno dei decessi (16) è riferito a più giornate dal 19 al 24 novembre. La Regione Emilia Romagna comunica che in seguito a verifica sui dati comunicati nei giorni passati sono stati eliminati 3 casi in quanto giudicati non casi COVID-19. La Regione Friuli Venezia Giulia comunica che i nuovi casi di oggi includono 117 casi positivi registrati dai laboratori privati dal 21 ottobre al 21 novembre"</t>
  </si>
  <si>
    <t>2020-11-25T17:00:00,"La Regione Emilia-Romagna segnala che in seguito a verifica sui dati comunicati nei giorni passati è stato eliminato 1 caso in quanto giudicato non caso COVID-19."</t>
  </si>
  <si>
    <t>2020-11-26T17:00:00,"La Regione Basilicata comunica che il dato sui casi guariti è in corso di verifica e il numero totale dei decessi comprende 1 paziente residente in altra regione con diagnosi e decesso avvenuto in struttura ospedaliera della regione Basilicata. La Regione Emilia Romagna comunica che in seguito a verifica sui dati comunicati nei giorni passati sono stati eliminati 2 casi in quanto giudicati non casi COVID-19. La Regione Friuli Venezia Giulia comunica che i casi di oggi riportano 104 positività da laboratori privati nel periodo 11-24 novembre."</t>
  </si>
  <si>
    <t>2020-11-27T17:00:00,"La Regione Basilicata comunica che da un ricalcolo dei casi positivi del 26 novembre, sono stati detratti 9 casi erroneamente conteggiati. La Regione Emilia Romagna comunica che in seguito a verifica sui dati comunicati nei giorni passati è stato eliminato 1 caso in quanto giudicato non caso COVID-19. La Regione Abruzzo comunica che un caso positivo dei giorni precedenti è in corso di definizione."</t>
  </si>
  <si>
    <t>2020-11-28T17:00:00,"La Regione Abruzzo segnala che e' stato sottratto un positivo del 27/11/2020 in quanto duplicato. La Regione Emilia Romagna segnala che in seguito a verifica sui dati comunicati nei giorni passati sono stati eliminati 7 casi, in quanto giudicati non casi COVID-19, e 1 decesso in quanto precedentemente erroneamente trasmesso. La Regione Friuli Venezia Giulia segnala che a seguito del rilascio da parte di Insiel S.p.A. del portale per l’inserimento degli esiti dei tamponi molecolari eseguiti presso laboratori privati, si è resa necessaria l’integrazione con la base dati relativa ai tamponi molecolari processati presso laboratori del SSR. Pertanto, i dati comunicati in data odierna comprendono una quota di dato corrente (relativo alla settimana 23-29 novembre) ed una quota di dato pregresso (1 ottobre-22 novembre), come di seguito specificato: Nuovi casi positivi 1432. Dato corrente 1184 (946 da laboratori SSR e 238 da laboratori privati). Dato pregresso 248 (laboratori privati). Incremento persone testate: 6029. Dato corrente 4432 (2276 da laboratori SSR e 2156 da laboratori privati). Dato pregresso 1597 (laboratori privati). Incremento tamponi: 15001. Dato corrente 9453 (7030 da laboratori SSR e 2423 da laboratori privati). Dato pregresso 5548 (laboratori privati"</t>
  </si>
  <si>
    <t>2020-11-29T17:00:00,"La Regione Emilia Romagna segnala che in seguito a verifica sui dati comunicati nei giorni passati sono stati eliminati 2 casi in quanto giudicati non casi COVID-19."</t>
  </si>
  <si>
    <t>2020-11-30T17:00:00,"La Regione Abruzzo segnala che dal totale dei casi positivi è stato sottratto 1 caso dei giorni passati, in quanto caso duplicato. La regione Umbria segnala che un ricalcolo sul numero dei decessi."</t>
  </si>
  <si>
    <t>2020-12-01T17:00:00,"La Regione Emilia Romagna comunica che in seguito a verifica sui dati comunicati nei giorni passati sono stati eliminati 3 casi in quanto giudicati non casi COVID-19."</t>
  </si>
  <si>
    <t>2020-12-02T17:00:00,"La Regione Emilia Romagna comunica che in seguito a verifica sui dati comunicati nei giorni passati sono stati eliminati 2 casi."</t>
  </si>
  <si>
    <t>2020-12-03T17:00:00,"La Regione Emilia Romagna comunica che in seguito a verifica sui dati comunicati nei giorni passati sono stati eliminati 6 casi. La Regione Campania comunica che il dato sugli ingressi in TI del giorno è in corso di definizione. La PA Bolzano comunica che il dato sugli ingressi in TI del giorno è in corso di definizione."</t>
  </si>
  <si>
    <t>2020-12-04T17:00:00,"La Regione Emilia Romagna comunica che in seguito a verifica sui dati comunicati nei giorni passati sono stati eliminati 4 casi in quanto giudicati non casi COVID-19. La PA Bolzano comunica che il dato sugli ingressi in TI del giorno al momento non è disponibile. La Regione Sardegna comunica che i dati relativi ai decessi sono comprensivi di un riallineamento dei dati. Per la Regione Valle D'Aosta è stato eseguito un riallineamento dei dati sui tamponi molecolari. I valori riportati in questo report sono aggiornati. La Regione Campania comunica che al momento non è possibile trasmettere i dati di ingressi in terapia intensiva del giorno perché in corso di definizione; in più, per mero errore di inserimento, il numero delle persone testate di ieri era 1.118.787 e non 11.187.787. La Regione Abruzzo comunica che in seguito a verifica sui dati comunicati, il totale dei casi positivi a ieri era 17.556."</t>
  </si>
  <si>
    <t>2020-12-05T17:00:00,"La Regione Calabria comunica che in data 3 dicembre è stato ricalcolato il dato sull'incremento casi giornaliero da 280 a 294. La Regione Campania comunica che non è possibile trasmettere i dati sugli ingressi del giorno in terapia intensiva perché in corso di definizione. La PA Bolzano comunica che non è possibile trasmettere i dati sugli ingressi del giorno in terapia intensiva perchè in corso di definizione. La Regione Valle D'Aosta comunica che il dato delle persone testate del 4/12 era 34.374 e non 34.734."</t>
  </si>
  <si>
    <t>2020-12-06T17:00:00,"La Regione Campania comunica che non è possibile trasmettere i dati sul ingressi in terapia intensiva perchè in corso di definizione. La PA Bolzano comunica che non è possibile trasmettere i dati sul ingressi in terapia intensiva perchè in corso di definizione. Il Molise comunica che il dato delle persone testate di ieri era 89.725 e non 897.250"</t>
  </si>
  <si>
    <t>2020-12-07T17:00:00,"La Regione Emilia Romagna segnala che in seguito a verifica sui dati comunicati nei giorni passati è stato eliminato 1 caso in quanto giudicato non caso COVID-19"</t>
  </si>
  <si>
    <t>2020-12-08T17:00:00,"La Regione Basilicata segnala che il totale dei tampini effettuati/casi testati è in corso di revisione. La Regione Emilia Romagna segnala che dai dati comunicati nei giorni passati sono stati eliminati 5 casi in quanto giudicati non casi COVID-19."</t>
  </si>
  <si>
    <t>2020-12-09T17:00:00,"La Regione Campania comunica che non è possibile trasmettere i dati sul ingressi in terapia intensiva perchè in corso di definizione. La PA Bolzano comunica che non è possibile trasmettere i dati sul ingressi in terapia intensiva perchè in corso di definizione. Il Molise comunica che il dato delle persone testate di ieri era 89.725 e non 897.250"</t>
  </si>
  <si>
    <t>2020-12-10T17:00:00,"La Regione Emilia Romagna comunica che in seguito a ricalcolo è stato eliminato 1 caso in quanto giudicato non caso COVID-19. "</t>
  </si>
  <si>
    <t>2020-12-11T17:00:00,"La Regione Calabria comunica che il numero totale di tamponi del 10/12/2020 era 390.443. La Regione Emilia Romagna comunica che in seguito a verifica sui dati comunicati nei giorni passati è stato eliminato 1 caso in quanto giudicato non caso COVID-19. La Regione Campania comunica di non potere al momento riportare i dati quotidiani sugli ingressi in T.I.."</t>
  </si>
  <si>
    <t>2020-12-12T17:00:00,"La regione Emilia Romagna segnala che in seguito a verifica sui dati comunicati nei giorni passati è stato eliminato 1 caso in quanto giudicato non caso COVID-19."</t>
  </si>
  <si>
    <t>2020-12-13T17:00:00,"La Regione Emilia Romagna segnala che in seguito a verifica sui dati comunicati nei giorni passati è stato eliminato 1 caso in quanto giudicato non caso COVID-19. "</t>
  </si>
  <si>
    <t>2020-12-14T17:00:00,"La Regione Abruzzo comunica che in seguito a ricalcolo è stato eliminato 1 caso in quanto giudicato non caso COVID-19. La Regione Campania al momento non ha a disposizione i dati quotidiani sugli ingressi in T.I.. La Regione Emilia Romagna comunica che in seguito a ricalcolo sono stati eliminati 4 caso in quanto giudicati non casi COVID-19."</t>
  </si>
  <si>
    <t>2020-12-15T17:00:00,"La Regione Campania al momento non ha a disposizione i dati quotidiani sugli ingressi in T.I. La Regione Emilia Romagna comunica che in seguito a verifica sui dati comunicati nei giorni passati sono stati eliminati 5 casi in quanto giudicati non casi COVID-19"</t>
  </si>
  <si>
    <t>2020-12-16T17:00:00,"La Regione Abruzzo comunica che sono stati sottratti 2 casi positivi dei giorni precedenti in seguito a ricalcolo. La Regione Campania comunica di non avere al momento la possibilità di riportare i nuovi ingressi quotidiani in T.I.. La Regione Emilia Romagna comunica sono stati eliminati 2 casi dei giorni passati in quanto giudicati non casi COVID-19."</t>
  </si>
  <si>
    <t>2020-12-17T17:00:00,"La Regione Abruzzo comunica che in seguito a verifica sui dati comunicati nei giorni passati sono stati eliminati 2 casi positivi degli ultimi giorni poiché duplicati.  La Regione Campania comunica di non avere al momento la possibilità di trasmettere i dati quotidiani sugli ingressi in T.I.. La Regione Emilia Romagna comunica che in seguito a verifica sui dati comunicati nei giorni passati è stato eliminato 1 caso in quanto giudicato non caso COVID-19."</t>
  </si>
  <si>
    <t>2020-12-18T17:00:00,"La Regione Basilicata segnala che il dato delle persone testate è stato ricalcolato e verificato con la piattaforma regionale covid-19.  La Regione Emilia Romagna segnala che a seguito di una verifica sui dati comunicati nei giorni passati è stato eliminato 1 caso in quanto giudicato non caso COVID-19. La Regione FVG segnala che per problemi tecnici i dati comunicati oggi sono parziali, i dati mancanti saranno riportati nelle comunicazioni successive. La Regione Piemonte segnala che : - il dato delle persone testate e dei tamponi processati con test molecolare è stato ricalcolato sulla base delle indicazioni ministeriali.  - il totale dei casi positivi è stato ricalcolato sulla base della definizione di caso come da circolare ministeriale."</t>
  </si>
  <si>
    <t>ingressi_terapia_intensiva</t>
  </si>
  <si>
    <t>note_test</t>
  </si>
  <si>
    <t>note_casi</t>
  </si>
  <si>
    <t>2020-12-19T17:00:00,"La Regione Abruzzo comunica che sono stati sottratti 2 casi dei giorni precedenti in quanto duplicati. La Regione Emilia Romagna comunica che in seguito a verifica sui dati comunicati nei giorni passati è stato eliminato 1 caso in quanto giudicato non caso COVID-19. La Regione Campania al momento non ha a disposizione i dati quotidiani sugli ingressi in T.I.."</t>
  </si>
  <si>
    <t>2020-12-20T17:00:00,"La Regione Emilia Romagna comunica che in seguito a verifica sui dati comunicati nei giorni passati è stato eliminato 2 casi in quanto giudicati non casi COVID-19. La Regione Campania al momento non ha a disposizione i dati quotidiani sugli ingressi in T.I.."</t>
  </si>
  <si>
    <t>2020-12-21T17:00:00,"La Regione Abruzzo comunica che in seguito a verifica sui dati comunicati è stato sottratto 1 caso dei giorni precedenti in quanto duplicato. La Regione Campania comunica di non poter fornire ad oggi i dati sugli ingressi delle T.I..  La Regione Emilia Romagna comunica che in seguito a verifica sui dati comunicati nei giorni passati sono stati eliminati 2 casi in quanto giudicati non casi COVID-19."</t>
  </si>
  <si>
    <t>2020-12-22T17:00:00,"La Regione Campania comunica di non potere comunicare al momento i dati giornalieri sugli ingressi in T.I.. La Regione Emilia Romagna comunica che in seguito a verifica sui dati comunicati nei giorni passati sono stati eliminati 2 casi in quanto giudicati non casi COVID-19."</t>
  </si>
  <si>
    <t>2020-12-23T17:00:00,"La Regione Campania comunica di non avere a disposizione al momento i dati sugli ingressi giornalieri nelle T.I.. La Regione Emilia Romagna comunica che in seguito a verifica sui dati comunicati nei giorni passati sono stati eliminati 2 casi in quanto giudicati non casi COVID-19. La Regione Lazio comunica che per un errore di inserimento il numero totale di tamponi di ieri 22/12/2020 era 2590884 per un incremento di 12982 tamponi. La Regione Friuli Venezia Giulia comunica che il totale dei casi positivi è stato rivisto sulla base delle indicazioni ministeriali."</t>
  </si>
  <si>
    <t>2020-12-24T17:00:00,"La Regione Campania non ha al momento l'indicazione sugli ingressi in TI del giorno. La Regione Emilia Romagna comunica che in seguito a verifica sui dati comunicati nei giorni passati è stato eliminato 1 caso in quanto giudicato non caso COVID-19. La Regione Valle D'Aosta comunica che ieri i pazienti ricoverati in TI erano 5 e non 4."</t>
  </si>
  <si>
    <t>2020-12-25T17:00:00,"La Regione Veneto segnala che nei valori riportati per le terapie intensive si è verificato un disallineamento temporale del flusso informativo pertanto per convenzione è stato riportato n. 16 dimissioni da TI invece delle 19 effettive che includono anche i negativizzati."</t>
  </si>
  <si>
    <t>2020-12-26T17:00:00,"La regione Emilia Romagna segnala che in seguito a verifica sui dati comunicati nei giorni passati sono stati eliminati 2 casi in quanto giudicati non casi COVID-19. La Regione Veneto segnala che nei valori riportati per le terapie intensive si è verificato un disallineamento temporale del flusso informativo pertanto per convenzione è stato riportato n. 13 dimissioni da TI invece delle 10 effettive che includono anche i negativizzati. La P.A.Bolzano  segnala che i dai verranno aggiornati domani."</t>
  </si>
  <si>
    <t>ITF</t>
  </si>
  <si>
    <t>ITF1</t>
  </si>
  <si>
    <t>ITF5</t>
  </si>
  <si>
    <t>ITF3</t>
  </si>
  <si>
    <t>ITH</t>
  </si>
  <si>
    <t>ITH5</t>
  </si>
  <si>
    <t>ITH4</t>
  </si>
  <si>
    <t>ITI</t>
  </si>
  <si>
    <t>ITI4</t>
  </si>
  <si>
    <t>ITC</t>
  </si>
  <si>
    <t>ITC3</t>
  </si>
  <si>
    <t>ITC4</t>
  </si>
  <si>
    <t>ITI3</t>
  </si>
  <si>
    <t>ITF2</t>
  </si>
  <si>
    <t>ITC1</t>
  </si>
  <si>
    <t>ITF6</t>
  </si>
  <si>
    <t>ITI1</t>
  </si>
  <si>
    <t>ITH1</t>
  </si>
  <si>
    <t>ITH2</t>
  </si>
  <si>
    <t>ITF4</t>
  </si>
  <si>
    <t>ITG</t>
  </si>
  <si>
    <t>ITG2</t>
  </si>
  <si>
    <t>ITG1</t>
  </si>
  <si>
    <t>ITI2</t>
  </si>
  <si>
    <t>ITC2</t>
  </si>
  <si>
    <t>ITH3</t>
  </si>
  <si>
    <t>ITF11</t>
  </si>
  <si>
    <t>ITF12</t>
  </si>
  <si>
    <t>ITF13</t>
  </si>
  <si>
    <t>ITF14</t>
  </si>
  <si>
    <t>ITF51</t>
  </si>
  <si>
    <t>ITF52</t>
  </si>
  <si>
    <t>ITF61</t>
  </si>
  <si>
    <t>ITF63</t>
  </si>
  <si>
    <t>ITF65</t>
  </si>
  <si>
    <t>ITF62</t>
  </si>
  <si>
    <t>ITF64</t>
  </si>
  <si>
    <t>ITF31</t>
  </si>
  <si>
    <t>ITF32</t>
  </si>
  <si>
    <t>ITF33</t>
  </si>
  <si>
    <t>ITF34</t>
  </si>
  <si>
    <t>ITF35</t>
  </si>
  <si>
    <t>ITH51</t>
  </si>
  <si>
    <t>ITH52</t>
  </si>
  <si>
    <t>ITH53</t>
  </si>
  <si>
    <t>ITH54</t>
  </si>
  <si>
    <t>ITH55</t>
  </si>
  <si>
    <t>ITH56</t>
  </si>
  <si>
    <t>ITH57</t>
  </si>
  <si>
    <t>ITH58</t>
  </si>
  <si>
    <t>ITH59</t>
  </si>
  <si>
    <t>ITH42</t>
  </si>
  <si>
    <t>ITH43</t>
  </si>
  <si>
    <t>ITH44</t>
  </si>
  <si>
    <t>ITH41</t>
  </si>
  <si>
    <t>ITI41</t>
  </si>
  <si>
    <t>ITI42</t>
  </si>
  <si>
    <t>ITI43</t>
  </si>
  <si>
    <t>ITI44</t>
  </si>
  <si>
    <t>ITI45</t>
  </si>
  <si>
    <t>ITC31</t>
  </si>
  <si>
    <t>ITC32</t>
  </si>
  <si>
    <t>ITC33</t>
  </si>
  <si>
    <t>ITC34</t>
  </si>
  <si>
    <t>ITC41</t>
  </si>
  <si>
    <t>ITC42</t>
  </si>
  <si>
    <t>ITC44</t>
  </si>
  <si>
    <t>ITC4C</t>
  </si>
  <si>
    <t>ITC46</t>
  </si>
  <si>
    <t>ITC47</t>
  </si>
  <si>
    <t>ITC48</t>
  </si>
  <si>
    <t>ITC4A</t>
  </si>
  <si>
    <t>ITC4B</t>
  </si>
  <si>
    <t>ITC43</t>
  </si>
  <si>
    <t>ITC49</t>
  </si>
  <si>
    <t>ITC4D</t>
  </si>
  <si>
    <t>ITI31</t>
  </si>
  <si>
    <t>ITI32</t>
  </si>
  <si>
    <t>ITI33</t>
  </si>
  <si>
    <t>ITI34</t>
  </si>
  <si>
    <t>ITI35</t>
  </si>
  <si>
    <t>ITF22</t>
  </si>
  <si>
    <t>ITF21</t>
  </si>
  <si>
    <t>ITH10</t>
  </si>
  <si>
    <t>ITH20</t>
  </si>
  <si>
    <t>ITC11</t>
  </si>
  <si>
    <t>ITC12</t>
  </si>
  <si>
    <t>ITC15</t>
  </si>
  <si>
    <t>ITC16</t>
  </si>
  <si>
    <t>ITC17</t>
  </si>
  <si>
    <t>ITC18</t>
  </si>
  <si>
    <t>ITC13</t>
  </si>
  <si>
    <t>ITC14</t>
  </si>
  <si>
    <t>ITF46</t>
  </si>
  <si>
    <t>ITF47</t>
  </si>
  <si>
    <t>ITF43</t>
  </si>
  <si>
    <t>ITF44</t>
  </si>
  <si>
    <t>ITF45</t>
  </si>
  <si>
    <t>ITF48</t>
  </si>
  <si>
    <t>ITG2D</t>
  </si>
  <si>
    <t>ITG2E</t>
  </si>
  <si>
    <t>ITG2F</t>
  </si>
  <si>
    <t>ITG2G</t>
  </si>
  <si>
    <t>ITG2H</t>
  </si>
  <si>
    <t>ITG11</t>
  </si>
  <si>
    <t>ITG12</t>
  </si>
  <si>
    <t>ITG13</t>
  </si>
  <si>
    <t>ITG14</t>
  </si>
  <si>
    <t>ITG15</t>
  </si>
  <si>
    <t>ITG16</t>
  </si>
  <si>
    <t>ITG17</t>
  </si>
  <si>
    <t>ITG18</t>
  </si>
  <si>
    <t>ITG19</t>
  </si>
  <si>
    <t>ITI11</t>
  </si>
  <si>
    <t>ITI12</t>
  </si>
  <si>
    <t>ITI13</t>
  </si>
  <si>
    <t>ITI14</t>
  </si>
  <si>
    <t>ITI16</t>
  </si>
  <si>
    <t>ITI17</t>
  </si>
  <si>
    <t>ITI18</t>
  </si>
  <si>
    <t>ITI19</t>
  </si>
  <si>
    <t>ITI1A</t>
  </si>
  <si>
    <t>ITI15</t>
  </si>
  <si>
    <t>ITI21</t>
  </si>
  <si>
    <t>ITI22</t>
  </si>
  <si>
    <t>ITC20</t>
  </si>
  <si>
    <t>ITH31</t>
  </si>
  <si>
    <t>ITH32</t>
  </si>
  <si>
    <t>ITH33</t>
  </si>
  <si>
    <t>ITH34</t>
  </si>
  <si>
    <t>ITH35</t>
  </si>
  <si>
    <t>ITH36</t>
  </si>
  <si>
    <t>ITH37</t>
  </si>
  <si>
    <t>codice_nuts_1</t>
  </si>
  <si>
    <t>codice_nuts_2</t>
  </si>
  <si>
    <t>codice_nuts_3</t>
  </si>
  <si>
    <t>NUTS 1</t>
  </si>
  <si>
    <t>NUTS 2</t>
  </si>
  <si>
    <t>NUTS 3</t>
  </si>
  <si>
    <t>Gruppi di regioni</t>
  </si>
  <si>
    <t>Codice</t>
  </si>
  <si>
    <t>Regioni d'Italia</t>
  </si>
  <si>
    <t>Aree</t>
  </si>
  <si>
    <t>Nord-Ovest</t>
  </si>
  <si>
    <t>Nord-Est</t>
  </si>
  <si>
    <t>Trentino-Alto Adige</t>
  </si>
  <si>
    <t>ITH10 / ITH20</t>
  </si>
  <si>
    <t>Bolzano-Bozen</t>
  </si>
  <si>
    <t>Friuli-Venezia Giulia</t>
  </si>
  <si>
    <t>Reggio Emilia</t>
  </si>
  <si>
    <t>Centro</t>
  </si>
  <si>
    <t>Massa-Carrara</t>
  </si>
  <si>
    <t>Sud</t>
  </si>
  <si>
    <t>Reggio Calabria</t>
  </si>
  <si>
    <t>Isole</t>
  </si>
  <si>
    <t>Nomenclatura delle unità territoriali per le statistiche dell'Italia</t>
  </si>
  <si>
    <t>totale_positivi_test_molecolare</t>
  </si>
  <si>
    <t>totale_positivi_test_antigenico_rapido</t>
  </si>
  <si>
    <t>tamponi_test_molecolare</t>
  </si>
  <si>
    <t>tamponi_test_antigenico_rapido</t>
  </si>
  <si>
    <t>guariti nel  giorno</t>
  </si>
  <si>
    <t>deceduti nel giorno</t>
  </si>
  <si>
    <t>tamponi nel giorno</t>
  </si>
  <si>
    <t>ingressi terapia intensiva</t>
  </si>
  <si>
    <t>skip righe</t>
  </si>
  <si>
    <t/>
  </si>
  <si>
    <t>Il numero totale dei decessi ne comprende n. 23 a carico di pazienti non residenti, deceduti in strutture ospedaliere della Regione Basilicata.</t>
  </si>
  <si>
    <t>In Regione Liguria la positività al test antigenico rapido è seguita da conferma con test molecolare</t>
  </si>
  <si>
    <t>205 nuovi positivi di cui 84 test antigenici confermati da test molecolare</t>
  </si>
  <si>
    <t>DECEDUTI: N. 2 IL 02/11/21 - N. 1 IL 01/11/21 - N. 1 IL 31/10/21 - N. 3 IL 29/10/21</t>
  </si>
  <si>
    <t xml:space="preserve">Nei valori riportati per le terapie intensive si è verificato un disallineamento temporale del flusso informativo pertanto per convenzione è stato riportato  1 dimessi da TI  invece di n. 2 effettivi. Il dato dei tamponi antigenici effettuati include anche i tamponi effettuati negli ultimi tre giorni.  Il dato dei casi confermati include anche casi confermati negli ultimi tre giorni. </t>
  </si>
  <si>
    <t>righe</t>
  </si>
  <si>
    <t>colonne</t>
  </si>
  <si>
    <t>Range iniziale:</t>
  </si>
  <si>
    <t>Range finale:</t>
  </si>
  <si>
    <t>riga:</t>
  </si>
  <si>
    <t>Dimensioni Range dati:</t>
  </si>
  <si>
    <t>posizione dove copiare in PrCivR:</t>
  </si>
  <si>
    <t>posizione dove copiare in PrCivP:</t>
  </si>
  <si>
    <t>Toglie i fogli provincia da RegionalTrends_IT</t>
  </si>
  <si>
    <t>aggiorna e traferisce i dati "latest" a regional trends</t>
  </si>
  <si>
    <t>Aggiorna le connessioni a dpc-covid19-ita, copia e incolla in RegionalTrends_ITRegProv</t>
  </si>
  <si>
    <t>Il dato relativo al numero dei “Casi in isolamento domiciliare” ed ai “Guariti” è in corso di revisione.</t>
  </si>
  <si>
    <t xml:space="preserve">L'Asp di Catanzaro comunica 144 nuovi soggetti positivi di cui 1  fuori  regione .  L'Asp di Cosenza  comunica 258 nuovi soggetti positivi di cui 2  fuori  regione . </t>
  </si>
  <si>
    <t xml:space="preserve">Il totale dei casi positivi è stato ridotto di 3 a seguito di  2 tamponi molecolari negativi dopo test antigenico positivo (2 casi relativi alla provincia di UD) e di un test positivo rimosso dopo revisione del caso (1 caso proveniente dalla provincia di PN).		</t>
  </si>
  <si>
    <t>*di cui	36908	 reinfezioni a partire dal 3/09/2021 [circ. min sal. n.37911 del 20/08/2021].</t>
  </si>
  <si>
    <t xml:space="preserve">265 nuovi positivi di cui 4 test antigenici confermati da test molecolare, 246 casi diagnosticati con test antigenico e 15 nuovi positivi al test PCR. </t>
  </si>
  <si>
    <t xml:space="preserve">L'incremento dei nuovi casi tiene conto anche dei casi diagnosticati con test antigenico. Pertanto si specifica che dei 469 casi dichiarati oggi, 379 sono stati diagnosticati da tampone antigenico Si segnala il decesso dei paz.:  - 1 donna 95 aa Residente nella Provincia del Sud Sardegna </t>
  </si>
  <si>
    <t>- Si fa presente che 1 dei ricoveri non UTI appartengono ai codici disciplina di Ostetricia &amp; Ginecologia e Pediatria. - Si fa presente che 99 dei ricoveri non UTI appartengono ad altri codici disciplina di cui 26 in discipline post-acuto, riabilitative ( cod. 60, 28, 56, 75 )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</si>
</sst>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 h\.mm;@"/>
  </numFmts>
  <fonts count="11">
    <font>
      <sz val="11"/>
      <color theme="1"/>
      <name val="Calibri"/>
      <family val="2"/>
      <scheme val="minor"/>
    </font>
    <font>
      <u/>
      <sz val="11"/>
      <color theme="10"/>
      <name val="Calibri"/>
      <family val="2"/>
      <scheme val="minor"/>
    </font>
    <font>
      <b/>
      <sz val="11"/>
      <color theme="1"/>
      <name val="Calibri"/>
      <family val="2"/>
      <scheme val="minor"/>
    </font>
    <font>
      <b/>
      <sz val="11"/>
      <color theme="0"/>
      <name val="Calibri"/>
      <family val="2"/>
      <scheme val="minor"/>
    </font>
    <font>
      <sz val="10"/>
      <color rgb="FF000000"/>
      <name val="Arial Unicode MS"/>
      <family val="2"/>
    </font>
    <font>
      <sz val="10"/>
      <color rgb="FF000000"/>
      <name val="Arial Unicode MS"/>
      <family val="2"/>
    </font>
    <font>
      <b/>
      <sz val="11"/>
      <color rgb="FF202122"/>
      <name val="Arial"/>
      <family val="2"/>
    </font>
    <font>
      <sz val="11"/>
      <color rgb="FF202122"/>
      <name val="Arial"/>
      <family val="2"/>
    </font>
    <font>
      <sz val="19.8"/>
      <color rgb="FF000000"/>
      <name val="Georgia"/>
      <family val="1"/>
    </font>
    <font>
      <b/>
      <sz val="16"/>
      <color rgb="FF000000"/>
      <name val="Calibri"/>
      <family val="2"/>
    </font>
    <font>
      <b/>
      <sz val="14"/>
      <color rgb="FF000000"/>
      <name val="Calibri"/>
      <family val="2"/>
    </font>
  </fonts>
  <fills count="5">
    <fill>
      <patternFill patternType="none"/>
    </fill>
    <fill>
      <patternFill patternType="gray125"/>
    </fill>
    <fill>
      <patternFill patternType="solid">
        <fgColor theme="9"/>
        <bgColor theme="9"/>
      </patternFill>
    </fill>
    <fill>
      <patternFill patternType="solid">
        <fgColor rgb="FFF8F9FA"/>
        <bgColor indexed="64"/>
      </patternFill>
    </fill>
    <fill>
      <patternFill patternType="solid">
        <fgColor rgb="FFEAECF0"/>
        <bgColor indexed="64"/>
      </patternFill>
    </fill>
  </fills>
  <borders count="10">
    <border>
      <left/>
      <right/>
      <top/>
      <bottom/>
      <diagonal/>
    </border>
    <border>
      <left/>
      <right/>
      <top style="thin">
        <color theme="9" tint="0.39997558519241921"/>
      </top>
      <bottom style="thin">
        <color theme="9" tint="0.39997558519241921"/>
      </bottom>
      <diagonal/>
    </border>
    <border>
      <left style="thin">
        <color theme="9" tint="0.39997558519241921"/>
      </left>
      <right/>
      <top style="thin">
        <color theme="9" tint="0.39997558519241921"/>
      </top>
      <bottom style="thin">
        <color theme="9" tint="0.39997558519241921"/>
      </bottom>
      <diagonal/>
    </border>
    <border>
      <left style="medium">
        <color rgb="FFA2A9B1"/>
      </left>
      <right style="medium">
        <color rgb="FFA2A9B1"/>
      </right>
      <top style="medium">
        <color rgb="FFA2A9B1"/>
      </top>
      <bottom style="medium">
        <color rgb="FFA2A9B1"/>
      </bottom>
      <diagonal/>
    </border>
    <border>
      <left style="medium">
        <color rgb="FFA2A9B1"/>
      </left>
      <right/>
      <top style="medium">
        <color rgb="FFA2A9B1"/>
      </top>
      <bottom style="medium">
        <color rgb="FFA2A9B1"/>
      </bottom>
      <diagonal/>
    </border>
    <border>
      <left/>
      <right style="medium">
        <color rgb="FFA2A9B1"/>
      </right>
      <top style="medium">
        <color rgb="FFA2A9B1"/>
      </top>
      <bottom style="medium">
        <color rgb="FFA2A9B1"/>
      </bottom>
      <diagonal/>
    </border>
    <border>
      <left style="medium">
        <color rgb="FFA2A9B1"/>
      </left>
      <right style="medium">
        <color rgb="FFA2A9B1"/>
      </right>
      <top style="medium">
        <color rgb="FFA2A9B1"/>
      </top>
      <bottom/>
      <diagonal/>
    </border>
    <border>
      <left style="medium">
        <color rgb="FFA2A9B1"/>
      </left>
      <right style="medium">
        <color rgb="FFA2A9B1"/>
      </right>
      <top/>
      <bottom/>
      <diagonal/>
    </border>
    <border>
      <left style="medium">
        <color rgb="FFA2A9B1"/>
      </left>
      <right style="medium">
        <color rgb="FFA2A9B1"/>
      </right>
      <top/>
      <bottom style="medium">
        <color rgb="FFA2A9B1"/>
      </bottom>
      <diagonal/>
    </border>
    <border>
      <left/>
      <right/>
      <top/>
      <bottom style="medium">
        <color rgb="FFA2A9B1"/>
      </bottom>
      <diagonal/>
    </border>
  </borders>
  <cellStyleXfs count="2">
    <xf numFmtId="0" fontId="0" fillId="0" borderId="0"/>
    <xf numFmtId="0" fontId="1" fillId="0" borderId="0" applyNumberFormat="0" applyFill="0" applyBorder="0" applyAlignment="0" applyProtection="0"/>
  </cellStyleXfs>
  <cellXfs count="28">
    <xf numFmtId="0" fontId="0" fillId="0" borderId="0" xfId="0"/>
    <xf numFmtId="22" fontId="0" fillId="0" borderId="0" xfId="0" applyNumberFormat="1"/>
    <xf numFmtId="0" fontId="0" fillId="0" borderId="0" xfId="0" applyNumberFormat="1"/>
    <xf numFmtId="0" fontId="1" fillId="0" borderId="0" xfId="1"/>
    <xf numFmtId="0" fontId="2" fillId="0" borderId="0" xfId="0" applyFont="1"/>
    <xf numFmtId="14" fontId="0" fillId="0" borderId="0" xfId="0" applyNumberFormat="1"/>
    <xf numFmtId="22" fontId="1" fillId="0" borderId="0" xfId="1" applyNumberFormat="1"/>
    <xf numFmtId="0" fontId="3" fillId="2" borderId="1" xfId="0" applyFont="1" applyFill="1" applyBorder="1"/>
    <xf numFmtId="0" fontId="3" fillId="2" borderId="2" xfId="0" applyFont="1" applyFill="1" applyBorder="1"/>
    <xf numFmtId="22" fontId="4" fillId="0" borderId="0" xfId="0" applyNumberFormat="1" applyFont="1" applyAlignment="1">
      <alignment vertical="center"/>
    </xf>
    <xf numFmtId="22" fontId="5" fillId="0" borderId="0" xfId="0" applyNumberFormat="1" applyFont="1" applyAlignment="1">
      <alignment vertical="center"/>
    </xf>
    <xf numFmtId="0" fontId="1" fillId="4" borderId="3" xfId="1" applyFill="1" applyBorder="1" applyAlignment="1">
      <alignment horizontal="center" vertical="center" wrapText="1"/>
    </xf>
    <xf numFmtId="0" fontId="6" fillId="4" borderId="3" xfId="0" applyFont="1" applyFill="1" applyBorder="1" applyAlignment="1">
      <alignment horizontal="center" vertical="center" wrapText="1"/>
    </xf>
    <xf numFmtId="0" fontId="1" fillId="3" borderId="3" xfId="1" applyFill="1" applyBorder="1" applyAlignment="1">
      <alignment vertical="center" wrapText="1"/>
    </xf>
    <xf numFmtId="0" fontId="7" fillId="3" borderId="3" xfId="0" applyFont="1" applyFill="1" applyBorder="1" applyAlignment="1">
      <alignment vertical="center" wrapText="1"/>
    </xf>
    <xf numFmtId="0" fontId="8" fillId="0" borderId="9" xfId="0" applyFont="1" applyBorder="1" applyAlignment="1">
      <alignment vertical="center"/>
    </xf>
    <xf numFmtId="0" fontId="0" fillId="0" borderId="0" xfId="0" applyAlignment="1">
      <alignment horizontal="right"/>
    </xf>
    <xf numFmtId="0" fontId="0" fillId="0" borderId="0" xfId="0" applyFont="1"/>
    <xf numFmtId="0" fontId="0" fillId="0" borderId="0" xfId="0" applyFont="1" applyAlignment="1">
      <alignment horizontal="center"/>
    </xf>
    <xf numFmtId="164" fontId="0" fillId="0" borderId="0" xfId="0" applyNumberFormat="1"/>
    <xf numFmtId="0" fontId="6" fillId="4" borderId="4" xfId="0" applyFont="1" applyFill="1" applyBorder="1" applyAlignment="1">
      <alignment horizontal="center" vertical="center" wrapText="1"/>
    </xf>
    <xf numFmtId="0" fontId="6" fillId="4" borderId="5" xfId="0" applyFont="1" applyFill="1" applyBorder="1" applyAlignment="1">
      <alignment horizontal="center" vertical="center" wrapText="1"/>
    </xf>
    <xf numFmtId="0" fontId="1" fillId="3" borderId="6" xfId="1" applyFill="1" applyBorder="1" applyAlignment="1">
      <alignment vertical="center" wrapText="1"/>
    </xf>
    <xf numFmtId="0" fontId="1" fillId="3" borderId="7" xfId="1" applyFill="1" applyBorder="1" applyAlignment="1">
      <alignment vertical="center" wrapText="1"/>
    </xf>
    <xf numFmtId="0" fontId="1" fillId="3" borderId="8" xfId="1" applyFill="1" applyBorder="1" applyAlignment="1">
      <alignment vertical="center" wrapText="1"/>
    </xf>
    <xf numFmtId="0" fontId="7" fillId="3" borderId="6" xfId="0" applyFont="1" applyFill="1" applyBorder="1" applyAlignment="1">
      <alignment vertical="center" wrapText="1"/>
    </xf>
    <xf numFmtId="0" fontId="7" fillId="3" borderId="7" xfId="0" applyFont="1" applyFill="1" applyBorder="1" applyAlignment="1">
      <alignment vertical="center" wrapText="1"/>
    </xf>
    <xf numFmtId="0" fontId="7" fillId="3" borderId="8" xfId="0" applyFont="1" applyFill="1" applyBorder="1" applyAlignment="1">
      <alignment vertical="center" wrapText="1"/>
    </xf>
  </cellXfs>
  <cellStyles count="2">
    <cellStyle name="Collegamento ipertestuale" xfId="1" builtinId="8"/>
    <cellStyle name="Normale" xfId="0" builtinId="0"/>
  </cellStyles>
  <dxfs count="2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0" formatCode="General"/>
    </dxf>
    <dxf>
      <numFmt numFmtId="27" formatCode="dd/mm/yyyy\ 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190500</xdr:colOff>
          <xdr:row>12</xdr:row>
          <xdr:rowOff>47625</xdr:rowOff>
        </xdr:from>
        <xdr:to>
          <xdr:col>34</xdr:col>
          <xdr:colOff>104775</xdr:colOff>
          <xdr:row>14</xdr:row>
          <xdr:rowOff>171450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it-IT" sz="1600" b="1" i="0" u="none" strike="noStrike" baseline="0">
                  <a:solidFill>
                    <a:srgbClr val="000000"/>
                  </a:solidFill>
                  <a:latin typeface="Calibri"/>
                  <a:cs typeface="Calibri"/>
                </a:rPr>
                <a:t>togli prov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600075</xdr:colOff>
          <xdr:row>3</xdr:row>
          <xdr:rowOff>19050</xdr:rowOff>
        </xdr:from>
        <xdr:to>
          <xdr:col>34</xdr:col>
          <xdr:colOff>561975</xdr:colOff>
          <xdr:row>4</xdr:row>
          <xdr:rowOff>180975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Transfer to RegionalTrends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638175</xdr:colOff>
          <xdr:row>22</xdr:row>
          <xdr:rowOff>57150</xdr:rowOff>
        </xdr:from>
        <xdr:to>
          <xdr:col>3</xdr:col>
          <xdr:colOff>733425</xdr:colOff>
          <xdr:row>24</xdr:row>
          <xdr:rowOff>180975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it-IT" sz="1600" b="1" i="0" u="none" strike="noStrike" baseline="0">
                  <a:solidFill>
                    <a:srgbClr val="000000"/>
                  </a:solidFill>
                  <a:latin typeface="Calibri"/>
                  <a:cs typeface="Calibri"/>
                </a:rPr>
                <a:t>togli prov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22</xdr:row>
          <xdr:rowOff>76200</xdr:rowOff>
        </xdr:from>
        <xdr:to>
          <xdr:col>2</xdr:col>
          <xdr:colOff>361950</xdr:colOff>
          <xdr:row>24</xdr:row>
          <xdr:rowOff>47625</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Transfer to RegionalTrends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57150</xdr:colOff>
          <xdr:row>7</xdr:row>
          <xdr:rowOff>19050</xdr:rowOff>
        </xdr:from>
        <xdr:to>
          <xdr:col>31</xdr:col>
          <xdr:colOff>381000</xdr:colOff>
          <xdr:row>9</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cs typeface="Calibri"/>
                </a:rPr>
                <a:t>Transfer to RegionalTrends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2" backgroundRefresh="0" refreshOnLoad="1" connectionId="3" xr16:uid="{C88796D9-ABC7-41B3-940D-C86FB4982790}" autoFormatId="16" applyNumberFormats="0" applyBorderFormats="0" applyFontFormats="0" applyPatternFormats="0" applyAlignmentFormats="0" applyWidthHeightFormats="0">
  <queryTableRefresh nextId="31">
    <queryTableFields count="30">
      <queryTableField id="1" name="data" tableColumnId="1"/>
      <queryTableField id="2" name="stato" tableColumnId="2"/>
      <queryTableField id="3" name="codice_regione" tableColumnId="3"/>
      <queryTableField id="4" name="denominazione_regione" tableColumnId="4"/>
      <queryTableField id="5" name="lat" tableColumnId="5"/>
      <queryTableField id="6" name="long" tableColumnId="6"/>
      <queryTableField id="7" name="ricoverati_con_sintomi" tableColumnId="7"/>
      <queryTableField id="8" name="terapia_intensiva" tableColumnId="8"/>
      <queryTableField id="9" name="totale_ospedalizzati" tableColumnId="9"/>
      <queryTableField id="10" name="isolamento_domiciliare" tableColumnId="10"/>
      <queryTableField id="11" name="totale_positivi" tableColumnId="11"/>
      <queryTableField id="12" name="variazione_totale_positivi" tableColumnId="12"/>
      <queryTableField id="13" name="nuovi_positivi" tableColumnId="13"/>
      <queryTableField id="14" name="dimessi_guariti" tableColumnId="14"/>
      <queryTableField id="15" name="deceduti" tableColumnId="15"/>
      <queryTableField id="16" name="casi_da_sospetto_diagnostico" tableColumnId="16"/>
      <queryTableField id="17" name="casi_da_screening" tableColumnId="17"/>
      <queryTableField id="18" name="totale_casi" tableColumnId="18"/>
      <queryTableField id="19" name="tamponi" tableColumnId="19"/>
      <queryTableField id="20" name="casi_testati" tableColumnId="20"/>
      <queryTableField id="21" name="note" tableColumnId="21"/>
      <queryTableField id="22" name="ingressi_terapia_intensiva" tableColumnId="22"/>
      <queryTableField id="23" name="note_test" tableColumnId="23"/>
      <queryTableField id="24" name="note_casi" tableColumnId="24"/>
      <queryTableField id="25" name="totale_positivi_test_molecolare" tableColumnId="25"/>
      <queryTableField id="26" name="totale_positivi_test_antigenico_rapido" tableColumnId="26"/>
      <queryTableField id="27" name="tamponi_test_molecolare" tableColumnId="27"/>
      <queryTableField id="28" name="tamponi_test_antigenico_rapido" tableColumnId="28"/>
      <queryTableField id="29" name="codice_nuts_1" tableColumnId="29"/>
      <queryTableField id="30" name="codice_nuts_2" tableColumnId="3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iEsterni_1" backgroundRefresh="0" refreshOnLoad="1" connectionId="2" xr16:uid="{145ABD8A-6E0C-4892-A11A-16E1B093F10F}" autoFormatId="16" applyNumberFormats="0" applyBorderFormats="0" applyFontFormats="0" applyPatternFormats="0" applyAlignmentFormats="0" applyWidthHeightFormats="0">
  <queryTableRefresh nextId="15">
    <queryTableFields count="14">
      <queryTableField id="1" name="data" tableColumnId="1"/>
      <queryTableField id="2" name="stato" tableColumnId="2"/>
      <queryTableField id="3" name="codice_regione" tableColumnId="3"/>
      <queryTableField id="4" name="denominazione_regione" tableColumnId="4"/>
      <queryTableField id="5" name="codice_provincia" tableColumnId="5"/>
      <queryTableField id="6" name="denominazione_provincia" tableColumnId="6"/>
      <queryTableField id="7" name="sigla_provincia" tableColumnId="7"/>
      <queryTableField id="8" name="lat" tableColumnId="8"/>
      <queryTableField id="9" name="long" tableColumnId="9"/>
      <queryTableField id="10" name="totale_casi" tableColumnId="10"/>
      <queryTableField id="11" name="note" tableColumnId="11"/>
      <queryTableField id="12" name="codice_nuts_1" tableColumnId="12"/>
      <queryTableField id="13" name="codice_nuts_2" tableColumnId="13"/>
      <queryTableField id="14" name="codice_nuts_3"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iEsterni_1" connectionId="1" xr16:uid="{00000000-0016-0000-0300-000002000000}" autoFormatId="16" applyNumberFormats="0" applyBorderFormats="0" applyFontFormats="0" applyPatternFormats="0" applyAlignmentFormats="0" applyWidthHeightFormats="0">
  <queryTableRefresh nextId="3">
    <queryTableFields count="2">
      <queryTableField id="1" name="data" tableColumnId="1"/>
      <queryTableField id="2" name="not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254019D-BFED-4F39-B42E-BB2C5FF8BD84}" name="dpc_covid19_ita_regioni_latest_2" displayName="dpc_covid19_ita_regioni_latest_2" ref="A1:AD22" tableType="queryTable" totalsRowShown="0">
  <autoFilter ref="A1:AD22" xr:uid="{805F803B-5369-412B-9452-B4BF3CC92202}"/>
  <tableColumns count="30">
    <tableColumn id="1" xr3:uid="{EF21C700-3606-4399-9CF6-3559A474FFB8}" uniqueName="1" name="data" queryTableFieldId="1" dataDxfId="18"/>
    <tableColumn id="2" xr3:uid="{B649AF09-E6E2-4422-9905-BD30E113E31A}" uniqueName="2" name="stato" queryTableFieldId="2" dataDxfId="17"/>
    <tableColumn id="3" xr3:uid="{975EBA80-4125-4C45-9B12-ADA92AB58A23}" uniqueName="3" name="codice_regione" queryTableFieldId="3"/>
    <tableColumn id="4" xr3:uid="{C6552639-A776-4573-AD0B-81D758766778}" uniqueName="4" name="denominazione_regione" queryTableFieldId="4" dataDxfId="16"/>
    <tableColumn id="5" xr3:uid="{F9CA9968-C143-461C-B7D0-A23990F6FD11}" uniqueName="5" name="lat" queryTableFieldId="5"/>
    <tableColumn id="6" xr3:uid="{F8565CBC-1776-4ABD-9166-8978F167CF6B}" uniqueName="6" name="long" queryTableFieldId="6"/>
    <tableColumn id="7" xr3:uid="{7ABA2D75-A8BE-4343-838A-9CF05A0F8AB3}" uniqueName="7" name="ricoverati_con_sintomi" queryTableFieldId="7"/>
    <tableColumn id="8" xr3:uid="{74F113D0-F45D-459D-A2E2-60937C827770}" uniqueName="8" name="terapia_intensiva" queryTableFieldId="8"/>
    <tableColumn id="9" xr3:uid="{E6CD30AC-6ECF-44CE-972D-E69451A52AB9}" uniqueName="9" name="totale_ospedalizzati" queryTableFieldId="9"/>
    <tableColumn id="10" xr3:uid="{CFD1D8DE-B4B7-4C0D-AA69-B97916462CE0}" uniqueName="10" name="isolamento_domiciliare" queryTableFieldId="10"/>
    <tableColumn id="11" xr3:uid="{08FE9AE9-ED5D-4FF6-892E-68A055D2AF95}" uniqueName="11" name="totale_positivi" queryTableFieldId="11"/>
    <tableColumn id="12" xr3:uid="{B370F1F7-1913-4963-80AF-36B4DB50A4C3}" uniqueName="12" name="variazione_totale_positivi" queryTableFieldId="12"/>
    <tableColumn id="13" xr3:uid="{4B9F2C50-41A4-498B-A8B1-3B470B1E545B}" uniqueName="13" name="nuovi_positivi" queryTableFieldId="13"/>
    <tableColumn id="14" xr3:uid="{EB8847C6-43D9-48F2-BCA4-25DBC0E15689}" uniqueName="14" name="dimessi_guariti" queryTableFieldId="14"/>
    <tableColumn id="15" xr3:uid="{995BA86D-00A0-45FA-8EC4-05FAB7EA28A9}" uniqueName="15" name="deceduti" queryTableFieldId="15"/>
    <tableColumn id="16" xr3:uid="{3693782F-5FD5-4209-AD70-D0275B6A08D6}" uniqueName="16" name="casi_da_sospetto_diagnostico" queryTableFieldId="16" dataDxfId="15"/>
    <tableColumn id="17" xr3:uid="{FB90F847-2880-4D15-9413-D191CAB9FDD3}" uniqueName="17" name="casi_da_screening" queryTableFieldId="17" dataDxfId="14"/>
    <tableColumn id="18" xr3:uid="{F2492BD3-64EB-4C7C-A301-3CC6E2C72715}" uniqueName="18" name="totale_casi" queryTableFieldId="18"/>
    <tableColumn id="19" xr3:uid="{E9DD22BB-B3BB-4683-873D-41BB3245CA98}" uniqueName="19" name="tamponi" queryTableFieldId="19"/>
    <tableColumn id="20" xr3:uid="{61302451-CE3B-49D9-AC41-00A4F0366F5D}" uniqueName="20" name="casi_testati" queryTableFieldId="20"/>
    <tableColumn id="21" xr3:uid="{F6B61EB0-90D0-4B99-B29F-85D68EE02A00}" uniqueName="21" name="note" queryTableFieldId="21" dataDxfId="13"/>
    <tableColumn id="22" xr3:uid="{8C59A456-F97F-4001-9EC2-4617178712A5}" uniqueName="22" name="ingressi_terapia_intensiva" queryTableFieldId="22"/>
    <tableColumn id="23" xr3:uid="{C37667B6-DA9B-43E4-8556-000B70081F01}" uniqueName="23" name="note_test" queryTableFieldId="23" dataDxfId="12"/>
    <tableColumn id="24" xr3:uid="{CFB57D15-D254-403D-991F-756A48B81F8C}" uniqueName="24" name="note_casi" queryTableFieldId="24" dataDxfId="11"/>
    <tableColumn id="25" xr3:uid="{DE67BDBF-1CC1-407E-81A3-BDC4FDE29EA8}" uniqueName="25" name="totale_positivi_test_molecolare" queryTableFieldId="25"/>
    <tableColumn id="26" xr3:uid="{EEEF5E90-2362-49EB-ABEB-3536BAFAB632}" uniqueName="26" name="totale_positivi_test_antigenico_rapido" queryTableFieldId="26"/>
    <tableColumn id="27" xr3:uid="{B712F897-DABA-4886-B9CA-323720726D93}" uniqueName="27" name="tamponi_test_molecolare" queryTableFieldId="27"/>
    <tableColumn id="28" xr3:uid="{1EA536C2-B9A8-4CEC-84EC-2EECAC2ED7EB}" uniqueName="28" name="tamponi_test_antigenico_rapido" queryTableFieldId="28"/>
    <tableColumn id="29" xr3:uid="{BEE09669-0A2E-4DAD-A66A-098F2058788C}" uniqueName="29" name="codice_nuts_1" queryTableFieldId="29" dataDxfId="10"/>
    <tableColumn id="30" xr3:uid="{68F13E36-260B-4960-A166-9749678D516E}" uniqueName="30" name="codice_nuts_2" queryTableFieldId="30" dataDxfId="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766A622-7115-47A8-AAD2-7F18528516A9}" name="dpc_covid19_ita_province_latest" displayName="dpc_covid19_ita_province_latest" ref="A1:N150" tableType="queryTable" totalsRowShown="0">
  <autoFilter ref="A1:N150" xr:uid="{D298037C-553E-4F95-8064-8440EB7209A3}"/>
  <tableColumns count="14">
    <tableColumn id="1" xr3:uid="{AD3230B8-092F-4DE5-B0D5-D48DB25C31DA}" uniqueName="1" name="data" queryTableFieldId="1" dataDxfId="8"/>
    <tableColumn id="2" xr3:uid="{A1B01820-1636-4029-8491-CFBC72F13EBE}" uniqueName="2" name="stato" queryTableFieldId="2" dataDxfId="7"/>
    <tableColumn id="3" xr3:uid="{19C82981-30BA-4CEE-B26C-DC563E90C909}" uniqueName="3" name="codice_regione" queryTableFieldId="3"/>
    <tableColumn id="4" xr3:uid="{6A0E5A17-80DA-4DAB-8E40-5B8CB7780979}" uniqueName="4" name="denominazione_regione" queryTableFieldId="4" dataDxfId="6"/>
    <tableColumn id="5" xr3:uid="{70A45F21-2682-468D-B5FD-9250CB742394}" uniqueName="5" name="codice_provincia" queryTableFieldId="5"/>
    <tableColumn id="6" xr3:uid="{A778C97C-CC22-4992-86EC-A514B17436B4}" uniqueName="6" name="denominazione_provincia" queryTableFieldId="6" dataDxfId="5"/>
    <tableColumn id="7" xr3:uid="{2FE5BF88-E52B-4530-93BF-08237BF3E6BD}" uniqueName="7" name="sigla_provincia" queryTableFieldId="7" dataDxfId="4"/>
    <tableColumn id="8" xr3:uid="{A7A93BBF-3EAD-4671-8D6F-4FD9791A3E14}" uniqueName="8" name="lat" queryTableFieldId="8"/>
    <tableColumn id="9" xr3:uid="{F44F4C5D-A4B8-4496-B24A-96FC6C54A630}" uniqueName="9" name="long" queryTableFieldId="9"/>
    <tableColumn id="10" xr3:uid="{2AC240BC-A6FC-444C-B8D5-652C6BFD3B04}" uniqueName="10" name="totale_casi" queryTableFieldId="10"/>
    <tableColumn id="11" xr3:uid="{AE53862C-D7E1-489F-9258-6F21F36BDD8A}" uniqueName="11" name="note" queryTableFieldId="11" dataDxfId="3"/>
    <tableColumn id="12" xr3:uid="{D1F47195-7E3A-4273-A619-A9C61E8CE819}" uniqueName="12" name="codice_nuts_1" queryTableFieldId="12" dataDxfId="2"/>
    <tableColumn id="13" xr3:uid="{A769353A-309B-4C6E-91B2-E5C311030C1B}" uniqueName="13" name="codice_nuts_2" queryTableFieldId="13" dataDxfId="1"/>
    <tableColumn id="14" xr3:uid="{B61D9593-0BB0-4751-8BEF-3C43665146C6}" uniqueName="14" name="codice_nuts_3" queryTableFieldId="14" dataDxfId="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dpc_covid19_ita_note" displayName="dpc_covid19_ita_note" ref="A1:B152" tableType="queryTable" totalsRowShown="0">
  <autoFilter ref="A1:B152" xr:uid="{00000000-0009-0000-0100-000004000000}"/>
  <tableColumns count="2">
    <tableColumn id="1" xr3:uid="{00000000-0010-0000-0200-000001000000}" uniqueName="1" name="data" queryTableFieldId="1" dataDxfId="20"/>
    <tableColumn id="2" xr3:uid="{00000000-0010-0000-0200-000002000000}" uniqueName="2" name="note" queryTableFieldId="2" dataDxfId="19"/>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hyperlink" Target="https://raw.githubusercontent.com/pcm-dpc/COVID-19/master/dati-province/dpc-covid19-ita-province-latest.csv" TargetMode="External"/><Relationship Id="rId7" Type="http://schemas.openxmlformats.org/officeDocument/2006/relationships/vmlDrawing" Target="../drawings/vmlDrawing2.vml"/><Relationship Id="rId2" Type="http://schemas.openxmlformats.org/officeDocument/2006/relationships/hyperlink" Target="https://raw.githubusercontent.com/pcm-dpc/COVID-19/master/dati-province/dpc-covid19-ita-province.csv" TargetMode="External"/><Relationship Id="rId1" Type="http://schemas.openxmlformats.org/officeDocument/2006/relationships/hyperlink" Target="https://github.com/pcm-dpc/COVID-19/tree/master" TargetMode="External"/><Relationship Id="rId6" Type="http://schemas.openxmlformats.org/officeDocument/2006/relationships/drawing" Target="../drawings/drawing2.xml"/><Relationship Id="rId5" Type="http://schemas.openxmlformats.org/officeDocument/2006/relationships/hyperlink" Target="https://raw.githubusercontent.com/pcm-dpc/COVID-19/master/dati-province/dpc-covid19-ita-province-latest.csv" TargetMode="External"/><Relationship Id="rId4" Type="http://schemas.openxmlformats.org/officeDocument/2006/relationships/hyperlink" Target="https://raw.githubusercontent.com/pcm-dpc/COVID-19/master/dati-province/dpc-covid19-ita-province.csv" TargetMode="External"/><Relationship Id="rId9"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2.bin"/><Relationship Id="rId1" Type="http://schemas.openxmlformats.org/officeDocument/2006/relationships/hyperlink" Target="https://raw.githubusercontent.com/pcm-dpc/COVID-19/master/note/dpc-covid19-ita-note.csv" TargetMode="External"/></Relationships>
</file>

<file path=xl/worksheets/_rels/sheet4.xml.rels><?xml version="1.0" encoding="UTF-8" standalone="yes"?>
<Relationships xmlns="http://schemas.openxmlformats.org/package/2006/relationships"><Relationship Id="rId117" Type="http://schemas.openxmlformats.org/officeDocument/2006/relationships/hyperlink" Target="https://it.wikipedia.org/wiki/Provincia_di_Reggio_Calabria" TargetMode="External"/><Relationship Id="rId21" Type="http://schemas.openxmlformats.org/officeDocument/2006/relationships/hyperlink" Target="https://it.wikipedia.org/wiki/Provincia_di_Varese" TargetMode="External"/><Relationship Id="rId42" Type="http://schemas.openxmlformats.org/officeDocument/2006/relationships/hyperlink" Target="https://it.wikipedia.org/wiki/Provincia_di_Venezia" TargetMode="External"/><Relationship Id="rId63" Type="http://schemas.openxmlformats.org/officeDocument/2006/relationships/hyperlink" Target="https://it.wikipedia.org/wiki/Provincia_di_Lucca" TargetMode="External"/><Relationship Id="rId84" Type="http://schemas.openxmlformats.org/officeDocument/2006/relationships/hyperlink" Target="https://it.wikipedia.org/wiki/Provincia_di_Roma" TargetMode="External"/><Relationship Id="rId16" Type="http://schemas.openxmlformats.org/officeDocument/2006/relationships/hyperlink" Target="https://it.wikipedia.org/wiki/Provincia_di_Imperia" TargetMode="External"/><Relationship Id="rId107" Type="http://schemas.openxmlformats.org/officeDocument/2006/relationships/hyperlink" Target="https://it.wikipedia.org/wiki/Provincia_di_Bari" TargetMode="External"/><Relationship Id="rId11" Type="http://schemas.openxmlformats.org/officeDocument/2006/relationships/hyperlink" Target="https://it.wikipedia.org/wiki/Provincia_di_Asti" TargetMode="External"/><Relationship Id="rId32" Type="http://schemas.openxmlformats.org/officeDocument/2006/relationships/hyperlink" Target="https://it.wikipedia.org/wiki/Provincia_di_Monza" TargetMode="External"/><Relationship Id="rId37" Type="http://schemas.openxmlformats.org/officeDocument/2006/relationships/hyperlink" Target="https://it.wikipedia.org/wiki/Veneto" TargetMode="External"/><Relationship Id="rId53" Type="http://schemas.openxmlformats.org/officeDocument/2006/relationships/hyperlink" Target="https://it.wikipedia.org/wiki/Provincia_di_Reggio_Emilia" TargetMode="External"/><Relationship Id="rId58" Type="http://schemas.openxmlformats.org/officeDocument/2006/relationships/hyperlink" Target="https://it.wikipedia.org/wiki/Provincia_di_Forl%C3%AC-Cesena" TargetMode="External"/><Relationship Id="rId74" Type="http://schemas.openxmlformats.org/officeDocument/2006/relationships/hyperlink" Target="https://it.wikipedia.org/wiki/Provincia_di_Terni" TargetMode="External"/><Relationship Id="rId79" Type="http://schemas.openxmlformats.org/officeDocument/2006/relationships/hyperlink" Target="https://it.wikipedia.org/wiki/Provincia_di_Ascoli_Piceno" TargetMode="External"/><Relationship Id="rId102" Type="http://schemas.openxmlformats.org/officeDocument/2006/relationships/hyperlink" Target="https://it.wikipedia.org/wiki/Puglia" TargetMode="External"/><Relationship Id="rId123" Type="http://schemas.openxmlformats.org/officeDocument/2006/relationships/hyperlink" Target="https://it.wikipedia.org/wiki/Provincia_di_Agrigento" TargetMode="External"/><Relationship Id="rId128" Type="http://schemas.openxmlformats.org/officeDocument/2006/relationships/hyperlink" Target="https://it.wikipedia.org/wiki/Provincia_di_Siracusa" TargetMode="External"/><Relationship Id="rId5" Type="http://schemas.openxmlformats.org/officeDocument/2006/relationships/hyperlink" Target="https://it.wikipedia.org/wiki/Citt%C3%A0_metropolitana_di_Torino" TargetMode="External"/><Relationship Id="rId90" Type="http://schemas.openxmlformats.org/officeDocument/2006/relationships/hyperlink" Target="https://it.wikipedia.org/wiki/Provincia_di_Teramo" TargetMode="External"/><Relationship Id="rId95" Type="http://schemas.openxmlformats.org/officeDocument/2006/relationships/hyperlink" Target="https://it.wikipedia.org/wiki/Provincia_di_Campobasso" TargetMode="External"/><Relationship Id="rId22" Type="http://schemas.openxmlformats.org/officeDocument/2006/relationships/hyperlink" Target="https://it.wikipedia.org/wiki/Provincia_di_Como" TargetMode="External"/><Relationship Id="rId27" Type="http://schemas.openxmlformats.org/officeDocument/2006/relationships/hyperlink" Target="https://it.wikipedia.org/wiki/Provincia_di_Pavia" TargetMode="External"/><Relationship Id="rId43" Type="http://schemas.openxmlformats.org/officeDocument/2006/relationships/hyperlink" Target="https://it.wikipedia.org/wiki/Provincia_di_Padova" TargetMode="External"/><Relationship Id="rId48" Type="http://schemas.openxmlformats.org/officeDocument/2006/relationships/hyperlink" Target="https://it.wikipedia.org/wiki/Provincia_di_Gorizia" TargetMode="External"/><Relationship Id="rId64" Type="http://schemas.openxmlformats.org/officeDocument/2006/relationships/hyperlink" Target="https://it.wikipedia.org/wiki/Provincia_di_Pistoia" TargetMode="External"/><Relationship Id="rId69" Type="http://schemas.openxmlformats.org/officeDocument/2006/relationships/hyperlink" Target="https://it.wikipedia.org/wiki/Provincia_di_Arezzo" TargetMode="External"/><Relationship Id="rId113" Type="http://schemas.openxmlformats.org/officeDocument/2006/relationships/hyperlink" Target="https://it.wikipedia.org/wiki/Provincia_di_Cosenza" TargetMode="External"/><Relationship Id="rId118" Type="http://schemas.openxmlformats.org/officeDocument/2006/relationships/hyperlink" Target="https://it.wikipedia.org/wiki/Italia_insulare" TargetMode="External"/><Relationship Id="rId134" Type="http://schemas.openxmlformats.org/officeDocument/2006/relationships/hyperlink" Target="https://it.wikipedia.org/wiki/Provincia_del_Sud_Sardegna" TargetMode="External"/><Relationship Id="rId80" Type="http://schemas.openxmlformats.org/officeDocument/2006/relationships/hyperlink" Target="https://it.wikipedia.org/wiki/Provincia_di_Fermo" TargetMode="External"/><Relationship Id="rId85" Type="http://schemas.openxmlformats.org/officeDocument/2006/relationships/hyperlink" Target="https://it.wikipedia.org/wiki/Provincia_di_Latina" TargetMode="External"/><Relationship Id="rId12" Type="http://schemas.openxmlformats.org/officeDocument/2006/relationships/hyperlink" Target="https://it.wikipedia.org/wiki/Provincia_di_Alessandria" TargetMode="External"/><Relationship Id="rId17" Type="http://schemas.openxmlformats.org/officeDocument/2006/relationships/hyperlink" Target="https://it.wikipedia.org/wiki/Provincia_di_Savona" TargetMode="External"/><Relationship Id="rId33" Type="http://schemas.openxmlformats.org/officeDocument/2006/relationships/hyperlink" Target="https://it.wikipedia.org/wiki/Italia_nord-orientale" TargetMode="External"/><Relationship Id="rId38" Type="http://schemas.openxmlformats.org/officeDocument/2006/relationships/hyperlink" Target="https://it.wikipedia.org/wiki/Provincia_di_Verona" TargetMode="External"/><Relationship Id="rId59" Type="http://schemas.openxmlformats.org/officeDocument/2006/relationships/hyperlink" Target="https://it.wikipedia.org/wiki/Provincia_di_Rimini" TargetMode="External"/><Relationship Id="rId103" Type="http://schemas.openxmlformats.org/officeDocument/2006/relationships/hyperlink" Target="https://it.wikipedia.org/wiki/Provincia_di_Taranto" TargetMode="External"/><Relationship Id="rId108" Type="http://schemas.openxmlformats.org/officeDocument/2006/relationships/hyperlink" Target="https://it.wikipedia.org/wiki/Provincia_di_Barletta-Andria-Trani" TargetMode="External"/><Relationship Id="rId124" Type="http://schemas.openxmlformats.org/officeDocument/2006/relationships/hyperlink" Target="https://it.wikipedia.org/wiki/Provincia_di_Caltanissetta" TargetMode="External"/><Relationship Id="rId129" Type="http://schemas.openxmlformats.org/officeDocument/2006/relationships/hyperlink" Target="https://it.wikipedia.org/wiki/Sardegna" TargetMode="External"/><Relationship Id="rId54" Type="http://schemas.openxmlformats.org/officeDocument/2006/relationships/hyperlink" Target="https://it.wikipedia.org/wiki/Provincia_di_Modena" TargetMode="External"/><Relationship Id="rId70" Type="http://schemas.openxmlformats.org/officeDocument/2006/relationships/hyperlink" Target="https://it.wikipedia.org/wiki/Provincia_di_Siena" TargetMode="External"/><Relationship Id="rId75" Type="http://schemas.openxmlformats.org/officeDocument/2006/relationships/hyperlink" Target="https://it.wikipedia.org/wiki/Marche" TargetMode="External"/><Relationship Id="rId91" Type="http://schemas.openxmlformats.org/officeDocument/2006/relationships/hyperlink" Target="https://it.wikipedia.org/wiki/Provincia_di_Pescara" TargetMode="External"/><Relationship Id="rId96" Type="http://schemas.openxmlformats.org/officeDocument/2006/relationships/hyperlink" Target="https://it.wikipedia.org/wiki/Campania" TargetMode="External"/><Relationship Id="rId1" Type="http://schemas.openxmlformats.org/officeDocument/2006/relationships/hyperlink" Target="https://it.wikipedia.org/wiki/Gruppi_di_regioni_italiane" TargetMode="External"/><Relationship Id="rId6" Type="http://schemas.openxmlformats.org/officeDocument/2006/relationships/hyperlink" Target="https://it.wikipedia.org/wiki/Provincia_di_Vercelli" TargetMode="External"/><Relationship Id="rId23" Type="http://schemas.openxmlformats.org/officeDocument/2006/relationships/hyperlink" Target="https://it.wikipedia.org/wiki/Provincia_di_Lecco" TargetMode="External"/><Relationship Id="rId28" Type="http://schemas.openxmlformats.org/officeDocument/2006/relationships/hyperlink" Target="https://it.wikipedia.org/wiki/Provincia_di_Lodi" TargetMode="External"/><Relationship Id="rId49" Type="http://schemas.openxmlformats.org/officeDocument/2006/relationships/hyperlink" Target="https://it.wikipedia.org/wiki/Provincia_di_Trieste" TargetMode="External"/><Relationship Id="rId114" Type="http://schemas.openxmlformats.org/officeDocument/2006/relationships/hyperlink" Target="https://it.wikipedia.org/wiki/Provincia_di_Crotone" TargetMode="External"/><Relationship Id="rId119" Type="http://schemas.openxmlformats.org/officeDocument/2006/relationships/hyperlink" Target="https://it.wikipedia.org/wiki/Sicilia" TargetMode="External"/><Relationship Id="rId44" Type="http://schemas.openxmlformats.org/officeDocument/2006/relationships/hyperlink" Target="https://it.wikipedia.org/wiki/Provincia_di_Rovigo" TargetMode="External"/><Relationship Id="rId60" Type="http://schemas.openxmlformats.org/officeDocument/2006/relationships/hyperlink" Target="https://it.wikipedia.org/wiki/Italia_centrale" TargetMode="External"/><Relationship Id="rId65" Type="http://schemas.openxmlformats.org/officeDocument/2006/relationships/hyperlink" Target="https://it.wikipedia.org/wiki/Citt%C3%A0_metropolitana_di_Firenze" TargetMode="External"/><Relationship Id="rId81" Type="http://schemas.openxmlformats.org/officeDocument/2006/relationships/hyperlink" Target="https://it.wikipedia.org/wiki/Lazio" TargetMode="External"/><Relationship Id="rId86" Type="http://schemas.openxmlformats.org/officeDocument/2006/relationships/hyperlink" Target="https://it.wikipedia.org/wiki/Provincia_di_Frosinone" TargetMode="External"/><Relationship Id="rId130" Type="http://schemas.openxmlformats.org/officeDocument/2006/relationships/hyperlink" Target="https://it.wikipedia.org/wiki/Provincia_di_Sassari" TargetMode="External"/><Relationship Id="rId13" Type="http://schemas.openxmlformats.org/officeDocument/2006/relationships/hyperlink" Target="https://it.wikipedia.org/wiki/Valle_d%27Aosta" TargetMode="External"/><Relationship Id="rId18" Type="http://schemas.openxmlformats.org/officeDocument/2006/relationships/hyperlink" Target="https://it.wikipedia.org/wiki/Citt%C3%A0_metropolitana_di_Genova" TargetMode="External"/><Relationship Id="rId39" Type="http://schemas.openxmlformats.org/officeDocument/2006/relationships/hyperlink" Target="https://it.wikipedia.org/wiki/Provincia_di_Vicenza" TargetMode="External"/><Relationship Id="rId109" Type="http://schemas.openxmlformats.org/officeDocument/2006/relationships/hyperlink" Target="https://it.wikipedia.org/wiki/Basilicata" TargetMode="External"/><Relationship Id="rId34" Type="http://schemas.openxmlformats.org/officeDocument/2006/relationships/hyperlink" Target="https://it.wikipedia.org/wiki/Trentino-Alto_Adige" TargetMode="External"/><Relationship Id="rId50" Type="http://schemas.openxmlformats.org/officeDocument/2006/relationships/hyperlink" Target="https://it.wikipedia.org/wiki/Emilia-Romagna" TargetMode="External"/><Relationship Id="rId55" Type="http://schemas.openxmlformats.org/officeDocument/2006/relationships/hyperlink" Target="https://it.wikipedia.org/wiki/Citt%C3%A0_metropolitana_di_Bologna" TargetMode="External"/><Relationship Id="rId76" Type="http://schemas.openxmlformats.org/officeDocument/2006/relationships/hyperlink" Target="https://it.wikipedia.org/wiki/Provincia_di_Pesaro_e_Urbino" TargetMode="External"/><Relationship Id="rId97" Type="http://schemas.openxmlformats.org/officeDocument/2006/relationships/hyperlink" Target="https://it.wikipedia.org/wiki/Provincia_di_Caserta" TargetMode="External"/><Relationship Id="rId104" Type="http://schemas.openxmlformats.org/officeDocument/2006/relationships/hyperlink" Target="https://it.wikipedia.org/wiki/Provincia_di_Brindisi" TargetMode="External"/><Relationship Id="rId120" Type="http://schemas.openxmlformats.org/officeDocument/2006/relationships/hyperlink" Target="https://it.wikipedia.org/wiki/Provincia_di_Trapani" TargetMode="External"/><Relationship Id="rId125" Type="http://schemas.openxmlformats.org/officeDocument/2006/relationships/hyperlink" Target="https://it.wikipedia.org/wiki/Provincia_di_Enna" TargetMode="External"/><Relationship Id="rId7" Type="http://schemas.openxmlformats.org/officeDocument/2006/relationships/hyperlink" Target="https://it.wikipedia.org/wiki/Provincia_di_Biella" TargetMode="External"/><Relationship Id="rId71" Type="http://schemas.openxmlformats.org/officeDocument/2006/relationships/hyperlink" Target="https://it.wikipedia.org/wiki/Provincia_di_Grosseto" TargetMode="External"/><Relationship Id="rId92" Type="http://schemas.openxmlformats.org/officeDocument/2006/relationships/hyperlink" Target="https://it.wikipedia.org/wiki/Provincia_di_Chieti" TargetMode="External"/><Relationship Id="rId2" Type="http://schemas.openxmlformats.org/officeDocument/2006/relationships/hyperlink" Target="https://it.wikipedia.org/wiki/Regioni_d%27Italia" TargetMode="External"/><Relationship Id="rId29" Type="http://schemas.openxmlformats.org/officeDocument/2006/relationships/hyperlink" Target="https://it.wikipedia.org/wiki/Provincia_di_Cremona" TargetMode="External"/><Relationship Id="rId24" Type="http://schemas.openxmlformats.org/officeDocument/2006/relationships/hyperlink" Target="https://it.wikipedia.org/wiki/Provincia_di_Sondrio" TargetMode="External"/><Relationship Id="rId40" Type="http://schemas.openxmlformats.org/officeDocument/2006/relationships/hyperlink" Target="https://it.wikipedia.org/wiki/Provincia_di_Belluno" TargetMode="External"/><Relationship Id="rId45" Type="http://schemas.openxmlformats.org/officeDocument/2006/relationships/hyperlink" Target="https://it.wikipedia.org/wiki/Friuli-Venezia_Giulia" TargetMode="External"/><Relationship Id="rId66" Type="http://schemas.openxmlformats.org/officeDocument/2006/relationships/hyperlink" Target="https://it.wikipedia.org/wiki/Provincia_di_Prato" TargetMode="External"/><Relationship Id="rId87" Type="http://schemas.openxmlformats.org/officeDocument/2006/relationships/hyperlink" Target="https://it.wikipedia.org/wiki/Italia_meridionale" TargetMode="External"/><Relationship Id="rId110" Type="http://schemas.openxmlformats.org/officeDocument/2006/relationships/hyperlink" Target="https://it.wikipedia.org/wiki/Provincia_di_Potenza" TargetMode="External"/><Relationship Id="rId115" Type="http://schemas.openxmlformats.org/officeDocument/2006/relationships/hyperlink" Target="https://it.wikipedia.org/wiki/Provincia_di_Catanzaro" TargetMode="External"/><Relationship Id="rId131" Type="http://schemas.openxmlformats.org/officeDocument/2006/relationships/hyperlink" Target="https://it.wikipedia.org/wiki/Provincia_di_Nuoro" TargetMode="External"/><Relationship Id="rId61" Type="http://schemas.openxmlformats.org/officeDocument/2006/relationships/hyperlink" Target="https://it.wikipedia.org/wiki/Toscana" TargetMode="External"/><Relationship Id="rId82" Type="http://schemas.openxmlformats.org/officeDocument/2006/relationships/hyperlink" Target="https://it.wikipedia.org/wiki/Provincia_di_Viterbo" TargetMode="External"/><Relationship Id="rId19" Type="http://schemas.openxmlformats.org/officeDocument/2006/relationships/hyperlink" Target="https://it.wikipedia.org/wiki/Provincia_della_Spezia" TargetMode="External"/><Relationship Id="rId14" Type="http://schemas.openxmlformats.org/officeDocument/2006/relationships/hyperlink" Target="https://it.wikipedia.org/wiki/Provincia_di_Aosta" TargetMode="External"/><Relationship Id="rId30" Type="http://schemas.openxmlformats.org/officeDocument/2006/relationships/hyperlink" Target="https://it.wikipedia.org/wiki/Provincia_di_Mantova" TargetMode="External"/><Relationship Id="rId35" Type="http://schemas.openxmlformats.org/officeDocument/2006/relationships/hyperlink" Target="https://it.wikipedia.org/wiki/Provincia_autonoma_di_Bolzano" TargetMode="External"/><Relationship Id="rId56" Type="http://schemas.openxmlformats.org/officeDocument/2006/relationships/hyperlink" Target="https://it.wikipedia.org/wiki/Provincia_di_Ferrara" TargetMode="External"/><Relationship Id="rId77" Type="http://schemas.openxmlformats.org/officeDocument/2006/relationships/hyperlink" Target="https://it.wikipedia.org/wiki/Provincia_di_Ancona" TargetMode="External"/><Relationship Id="rId100" Type="http://schemas.openxmlformats.org/officeDocument/2006/relationships/hyperlink" Target="https://it.wikipedia.org/wiki/Provincia_di_Avellino" TargetMode="External"/><Relationship Id="rId105" Type="http://schemas.openxmlformats.org/officeDocument/2006/relationships/hyperlink" Target="https://it.wikipedia.org/wiki/Provincia_di_Lecce" TargetMode="External"/><Relationship Id="rId126" Type="http://schemas.openxmlformats.org/officeDocument/2006/relationships/hyperlink" Target="https://it.wikipedia.org/wiki/Provincia_di_Catania" TargetMode="External"/><Relationship Id="rId8" Type="http://schemas.openxmlformats.org/officeDocument/2006/relationships/hyperlink" Target="https://it.wikipedia.org/wiki/Provincia_del_Verbano_Cusio_Ossola" TargetMode="External"/><Relationship Id="rId51" Type="http://schemas.openxmlformats.org/officeDocument/2006/relationships/hyperlink" Target="https://it.wikipedia.org/wiki/Provincia_di_Piacenza" TargetMode="External"/><Relationship Id="rId72" Type="http://schemas.openxmlformats.org/officeDocument/2006/relationships/hyperlink" Target="https://it.wikipedia.org/wiki/Umbria" TargetMode="External"/><Relationship Id="rId93" Type="http://schemas.openxmlformats.org/officeDocument/2006/relationships/hyperlink" Target="https://it.wikipedia.org/wiki/Molise" TargetMode="External"/><Relationship Id="rId98" Type="http://schemas.openxmlformats.org/officeDocument/2006/relationships/hyperlink" Target="https://it.wikipedia.org/wiki/Provincia_di_Benevento" TargetMode="External"/><Relationship Id="rId121" Type="http://schemas.openxmlformats.org/officeDocument/2006/relationships/hyperlink" Target="https://it.wikipedia.org/wiki/Provincia_di_Palermo" TargetMode="External"/><Relationship Id="rId3" Type="http://schemas.openxmlformats.org/officeDocument/2006/relationships/hyperlink" Target="https://it.wikipedia.org/wiki/Italia_nord-occidentale" TargetMode="External"/><Relationship Id="rId25" Type="http://schemas.openxmlformats.org/officeDocument/2006/relationships/hyperlink" Target="https://it.wikipedia.org/wiki/Provincia_di_Bergamo" TargetMode="External"/><Relationship Id="rId46" Type="http://schemas.openxmlformats.org/officeDocument/2006/relationships/hyperlink" Target="https://it.wikipedia.org/wiki/Provincia_di_Pordenone" TargetMode="External"/><Relationship Id="rId67" Type="http://schemas.openxmlformats.org/officeDocument/2006/relationships/hyperlink" Target="https://it.wikipedia.org/wiki/Provincia_di_Livorno" TargetMode="External"/><Relationship Id="rId116" Type="http://schemas.openxmlformats.org/officeDocument/2006/relationships/hyperlink" Target="https://it.wikipedia.org/wiki/Provincia_di_Vibo_Valentia" TargetMode="External"/><Relationship Id="rId20" Type="http://schemas.openxmlformats.org/officeDocument/2006/relationships/hyperlink" Target="https://it.wikipedia.org/wiki/Lombardia" TargetMode="External"/><Relationship Id="rId41" Type="http://schemas.openxmlformats.org/officeDocument/2006/relationships/hyperlink" Target="https://it.wikipedia.org/wiki/Provincia_di_Treviso" TargetMode="External"/><Relationship Id="rId62" Type="http://schemas.openxmlformats.org/officeDocument/2006/relationships/hyperlink" Target="https://it.wikipedia.org/wiki/Provincia_di_Massa-Carrara" TargetMode="External"/><Relationship Id="rId83" Type="http://schemas.openxmlformats.org/officeDocument/2006/relationships/hyperlink" Target="https://it.wikipedia.org/wiki/Provincia_di_Rieti" TargetMode="External"/><Relationship Id="rId88" Type="http://schemas.openxmlformats.org/officeDocument/2006/relationships/hyperlink" Target="https://it.wikipedia.org/wiki/Abruzzo" TargetMode="External"/><Relationship Id="rId111" Type="http://schemas.openxmlformats.org/officeDocument/2006/relationships/hyperlink" Target="https://it.wikipedia.org/wiki/Provincia_di_Matera" TargetMode="External"/><Relationship Id="rId132" Type="http://schemas.openxmlformats.org/officeDocument/2006/relationships/hyperlink" Target="https://it.wikipedia.org/wiki/Provincia_di_Cagliari" TargetMode="External"/><Relationship Id="rId15" Type="http://schemas.openxmlformats.org/officeDocument/2006/relationships/hyperlink" Target="https://it.wikipedia.org/wiki/Liguria" TargetMode="External"/><Relationship Id="rId36" Type="http://schemas.openxmlformats.org/officeDocument/2006/relationships/hyperlink" Target="https://it.wikipedia.org/wiki/Provincia_autonoma_di_Trento" TargetMode="External"/><Relationship Id="rId57" Type="http://schemas.openxmlformats.org/officeDocument/2006/relationships/hyperlink" Target="https://it.wikipedia.org/wiki/Provincia_di_Ravenna" TargetMode="External"/><Relationship Id="rId106" Type="http://schemas.openxmlformats.org/officeDocument/2006/relationships/hyperlink" Target="https://it.wikipedia.org/wiki/Provincia_di_Foggia" TargetMode="External"/><Relationship Id="rId127" Type="http://schemas.openxmlformats.org/officeDocument/2006/relationships/hyperlink" Target="https://it.wikipedia.org/wiki/Provincia_di_Ragusa" TargetMode="External"/><Relationship Id="rId10" Type="http://schemas.openxmlformats.org/officeDocument/2006/relationships/hyperlink" Target="https://it.wikipedia.org/wiki/Provincia_di_Cuneo" TargetMode="External"/><Relationship Id="rId31" Type="http://schemas.openxmlformats.org/officeDocument/2006/relationships/hyperlink" Target="https://it.wikipedia.org/wiki/Citt%C3%A0_metropolitana_di_Milano" TargetMode="External"/><Relationship Id="rId52" Type="http://schemas.openxmlformats.org/officeDocument/2006/relationships/hyperlink" Target="https://it.wikipedia.org/wiki/Provincia_di_Parma" TargetMode="External"/><Relationship Id="rId73" Type="http://schemas.openxmlformats.org/officeDocument/2006/relationships/hyperlink" Target="https://it.wikipedia.org/wiki/Provincia_di_Perugia" TargetMode="External"/><Relationship Id="rId78" Type="http://schemas.openxmlformats.org/officeDocument/2006/relationships/hyperlink" Target="https://it.wikipedia.org/wiki/Provincia_di_Macerata" TargetMode="External"/><Relationship Id="rId94" Type="http://schemas.openxmlformats.org/officeDocument/2006/relationships/hyperlink" Target="https://it.wikipedia.org/wiki/Provincia_di_Isernia" TargetMode="External"/><Relationship Id="rId99" Type="http://schemas.openxmlformats.org/officeDocument/2006/relationships/hyperlink" Target="https://it.wikipedia.org/wiki/Citt%C3%A0_metropolitana_di_Napoli" TargetMode="External"/><Relationship Id="rId101" Type="http://schemas.openxmlformats.org/officeDocument/2006/relationships/hyperlink" Target="https://it.wikipedia.org/wiki/Provincia_di_Salerno" TargetMode="External"/><Relationship Id="rId122" Type="http://schemas.openxmlformats.org/officeDocument/2006/relationships/hyperlink" Target="https://it.wikipedia.org/wiki/Provincia_di_Messina" TargetMode="External"/><Relationship Id="rId4" Type="http://schemas.openxmlformats.org/officeDocument/2006/relationships/hyperlink" Target="https://it.wikipedia.org/wiki/Piemonte" TargetMode="External"/><Relationship Id="rId9" Type="http://schemas.openxmlformats.org/officeDocument/2006/relationships/hyperlink" Target="https://it.wikipedia.org/wiki/Provincia_di_Novara" TargetMode="External"/><Relationship Id="rId26" Type="http://schemas.openxmlformats.org/officeDocument/2006/relationships/hyperlink" Target="https://it.wikipedia.org/wiki/Provincia_di_Brescia" TargetMode="External"/><Relationship Id="rId47" Type="http://schemas.openxmlformats.org/officeDocument/2006/relationships/hyperlink" Target="https://it.wikipedia.org/wiki/Provincia_di_Udine" TargetMode="External"/><Relationship Id="rId68" Type="http://schemas.openxmlformats.org/officeDocument/2006/relationships/hyperlink" Target="https://it.wikipedia.org/wiki/Provincia_di_Pisa" TargetMode="External"/><Relationship Id="rId89" Type="http://schemas.openxmlformats.org/officeDocument/2006/relationships/hyperlink" Target="https://it.wikipedia.org/wiki/Provincia_di_L%27Aquila" TargetMode="External"/><Relationship Id="rId112" Type="http://schemas.openxmlformats.org/officeDocument/2006/relationships/hyperlink" Target="https://it.wikipedia.org/wiki/Calabria" TargetMode="External"/><Relationship Id="rId133" Type="http://schemas.openxmlformats.org/officeDocument/2006/relationships/hyperlink" Target="https://it.wikipedia.org/wiki/Provincia_di_Oristano"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9FF5A-9A95-4C6A-B908-26A6CB69DC1B}">
  <sheetPr codeName="Foglio1"/>
  <dimension ref="A1:AJ100"/>
  <sheetViews>
    <sheetView tabSelected="1" topLeftCell="A13" zoomScale="70" zoomScaleNormal="70" workbookViewId="0">
      <pane xSplit="10965"/>
      <selection activeCell="A26" sqref="A26:AF46"/>
      <selection pane="topRight" activeCell="A26" sqref="A26:AF46"/>
    </sheetView>
  </sheetViews>
  <sheetFormatPr defaultRowHeight="15"/>
  <cols>
    <col min="1" max="1" width="17.7109375" bestFit="1" customWidth="1"/>
    <col min="2" max="2" width="10.7109375" bestFit="1" customWidth="1"/>
    <col min="3" max="3" width="23" bestFit="1" customWidth="1"/>
    <col min="4" max="4" width="32.85546875" bestFit="1" customWidth="1"/>
    <col min="5" max="6" width="13.5703125" bestFit="1" customWidth="1"/>
    <col min="7" max="7" width="31.42578125" bestFit="1" customWidth="1"/>
    <col min="8" max="8" width="25" bestFit="1" customWidth="1"/>
    <col min="9" max="9" width="28.28515625" bestFit="1" customWidth="1"/>
    <col min="10" max="10" width="31.5703125" bestFit="1" customWidth="1"/>
    <col min="11" max="11" width="21.140625" bestFit="1" customWidth="1"/>
    <col min="12" max="12" width="34.5703125" bestFit="1" customWidth="1"/>
    <col min="13" max="13" width="20.7109375" bestFit="1" customWidth="1"/>
    <col min="14" max="14" width="22.140625" bestFit="1" customWidth="1"/>
    <col min="15" max="15" width="15" bestFit="1" customWidth="1"/>
    <col min="16" max="16" width="41" bestFit="1" customWidth="1"/>
    <col min="17" max="17" width="27.140625" bestFit="1" customWidth="1"/>
    <col min="18" max="18" width="17.7109375" bestFit="1" customWidth="1"/>
    <col min="19" max="19" width="14" bestFit="1" customWidth="1"/>
    <col min="20" max="20" width="18.28515625" bestFit="1" customWidth="1"/>
    <col min="21" max="21" width="69.5703125" bestFit="1" customWidth="1"/>
    <col min="22" max="22" width="35.7109375" bestFit="1" customWidth="1"/>
    <col min="23" max="23" width="15.85546875" bestFit="1" customWidth="1"/>
    <col min="24" max="24" width="69.5703125" bestFit="1" customWidth="1"/>
    <col min="25" max="25" width="41.5703125" bestFit="1" customWidth="1"/>
    <col min="26" max="26" width="50" bestFit="1" customWidth="1"/>
    <col min="27" max="27" width="34.28515625" bestFit="1" customWidth="1"/>
    <col min="28" max="28" width="42.85546875" bestFit="1" customWidth="1"/>
    <col min="29" max="29" width="21.7109375" bestFit="1" customWidth="1"/>
    <col min="30" max="30" width="22.140625" bestFit="1" customWidth="1"/>
    <col min="33" max="34" width="12.85546875" customWidth="1"/>
  </cols>
  <sheetData>
    <row r="1" spans="1:36">
      <c r="A1" t="s">
        <v>1</v>
      </c>
      <c r="B1" t="s">
        <v>2</v>
      </c>
      <c r="C1" t="s">
        <v>3</v>
      </c>
      <c r="D1" t="s">
        <v>4</v>
      </c>
      <c r="E1" t="s">
        <v>8</v>
      </c>
      <c r="F1" t="s">
        <v>9</v>
      </c>
      <c r="G1" t="s">
        <v>250</v>
      </c>
      <c r="H1" t="s">
        <v>251</v>
      </c>
      <c r="I1" t="s">
        <v>252</v>
      </c>
      <c r="J1" t="s">
        <v>253</v>
      </c>
      <c r="K1" t="s">
        <v>254</v>
      </c>
      <c r="L1" t="s">
        <v>255</v>
      </c>
      <c r="M1" t="s">
        <v>256</v>
      </c>
      <c r="N1" t="s">
        <v>257</v>
      </c>
      <c r="O1" t="s">
        <v>258</v>
      </c>
      <c r="P1" t="s">
        <v>259</v>
      </c>
      <c r="Q1" t="s">
        <v>260</v>
      </c>
      <c r="R1" t="s">
        <v>10</v>
      </c>
      <c r="S1" t="s">
        <v>261</v>
      </c>
      <c r="T1" t="s">
        <v>262</v>
      </c>
      <c r="U1" t="s">
        <v>11</v>
      </c>
      <c r="V1" t="s">
        <v>412</v>
      </c>
      <c r="W1" t="s">
        <v>413</v>
      </c>
      <c r="X1" t="s">
        <v>414</v>
      </c>
      <c r="Y1" t="s">
        <v>579</v>
      </c>
      <c r="Z1" t="s">
        <v>580</v>
      </c>
      <c r="AA1" t="s">
        <v>581</v>
      </c>
      <c r="AB1" t="s">
        <v>582</v>
      </c>
      <c r="AC1" t="s">
        <v>556</v>
      </c>
      <c r="AD1" t="s">
        <v>557</v>
      </c>
      <c r="AG1" s="4" t="s">
        <v>604</v>
      </c>
    </row>
    <row r="2" spans="1:36">
      <c r="A2" s="1">
        <v>44863.708333333336</v>
      </c>
      <c r="B2" s="2" t="s">
        <v>12</v>
      </c>
      <c r="C2">
        <v>13</v>
      </c>
      <c r="D2" s="2" t="s">
        <v>13</v>
      </c>
      <c r="E2">
        <v>4235122196</v>
      </c>
      <c r="F2">
        <v>1339843823</v>
      </c>
      <c r="G2">
        <v>162</v>
      </c>
      <c r="H2">
        <v>8</v>
      </c>
      <c r="I2">
        <v>170</v>
      </c>
      <c r="J2">
        <v>14596</v>
      </c>
      <c r="K2">
        <v>14766</v>
      </c>
      <c r="L2">
        <v>-39</v>
      </c>
      <c r="M2">
        <v>704</v>
      </c>
      <c r="N2">
        <v>568743</v>
      </c>
      <c r="O2">
        <v>3708</v>
      </c>
      <c r="P2" s="2" t="s">
        <v>588</v>
      </c>
      <c r="Q2" s="2" t="s">
        <v>588</v>
      </c>
      <c r="R2">
        <v>587217</v>
      </c>
      <c r="S2">
        <v>6997171</v>
      </c>
      <c r="T2">
        <v>1334016</v>
      </c>
      <c r="U2" s="2" t="s">
        <v>588</v>
      </c>
      <c r="V2">
        <v>0</v>
      </c>
      <c r="W2" s="2" t="s">
        <v>588</v>
      </c>
      <c r="X2" s="2" t="s">
        <v>588</v>
      </c>
      <c r="Y2">
        <v>228574</v>
      </c>
      <c r="Z2">
        <v>358643</v>
      </c>
      <c r="AA2">
        <v>2515043</v>
      </c>
      <c r="AB2">
        <v>4482128</v>
      </c>
      <c r="AC2" s="2" t="s">
        <v>423</v>
      </c>
      <c r="AD2" s="2" t="s">
        <v>424</v>
      </c>
      <c r="AG2" t="s">
        <v>600</v>
      </c>
    </row>
    <row r="3" spans="1:36">
      <c r="A3" s="1">
        <v>44863.708333333336</v>
      </c>
      <c r="B3" s="2" t="s">
        <v>12</v>
      </c>
      <c r="C3">
        <v>17</v>
      </c>
      <c r="D3" s="2" t="s">
        <v>24</v>
      </c>
      <c r="E3">
        <v>4063947052</v>
      </c>
      <c r="F3">
        <v>1580514834</v>
      </c>
      <c r="G3">
        <v>29</v>
      </c>
      <c r="H3">
        <v>0</v>
      </c>
      <c r="I3">
        <v>29</v>
      </c>
      <c r="J3">
        <v>4744</v>
      </c>
      <c r="K3">
        <v>4773</v>
      </c>
      <c r="L3">
        <v>-59</v>
      </c>
      <c r="M3">
        <v>121</v>
      </c>
      <c r="N3">
        <v>183046</v>
      </c>
      <c r="O3">
        <v>989</v>
      </c>
      <c r="P3" s="2" t="s">
        <v>588</v>
      </c>
      <c r="Q3" s="2" t="s">
        <v>588</v>
      </c>
      <c r="R3">
        <v>188808</v>
      </c>
      <c r="S3">
        <v>1261415</v>
      </c>
      <c r="T3">
        <v>391335</v>
      </c>
      <c r="U3" s="2" t="s">
        <v>605</v>
      </c>
      <c r="V3">
        <v>0</v>
      </c>
      <c r="W3" s="2" t="s">
        <v>588</v>
      </c>
      <c r="X3" s="2" t="s">
        <v>588</v>
      </c>
      <c r="Y3">
        <v>70376</v>
      </c>
      <c r="Z3">
        <v>118432</v>
      </c>
      <c r="AA3">
        <v>692641</v>
      </c>
      <c r="AB3">
        <v>568774</v>
      </c>
      <c r="AC3" s="2" t="s">
        <v>423</v>
      </c>
      <c r="AD3" s="2" t="s">
        <v>425</v>
      </c>
      <c r="AG3" s="5">
        <v>43885</v>
      </c>
      <c r="AH3" s="5">
        <f>A26</f>
        <v>44863.708333333336</v>
      </c>
      <c r="AI3" s="16" t="s">
        <v>598</v>
      </c>
      <c r="AJ3" s="18">
        <f>5+INT(A26-AG3)*21</f>
        <v>20543</v>
      </c>
    </row>
    <row r="4" spans="1:36">
      <c r="A4" s="1">
        <v>44863.708333333336</v>
      </c>
      <c r="B4" s="2" t="s">
        <v>12</v>
      </c>
      <c r="C4">
        <v>18</v>
      </c>
      <c r="D4" s="2" t="s">
        <v>29</v>
      </c>
      <c r="E4">
        <v>3890597598</v>
      </c>
      <c r="F4">
        <v>1659440194</v>
      </c>
      <c r="G4">
        <v>128</v>
      </c>
      <c r="H4">
        <v>4</v>
      </c>
      <c r="I4">
        <v>132</v>
      </c>
      <c r="J4">
        <v>8838</v>
      </c>
      <c r="K4">
        <v>8970</v>
      </c>
      <c r="L4">
        <v>-586</v>
      </c>
      <c r="M4">
        <v>613</v>
      </c>
      <c r="N4">
        <v>568352</v>
      </c>
      <c r="O4">
        <v>3061</v>
      </c>
      <c r="P4" s="2" t="s">
        <v>588</v>
      </c>
      <c r="Q4" s="2" t="s">
        <v>588</v>
      </c>
      <c r="R4">
        <v>580383</v>
      </c>
      <c r="S4">
        <v>3906176</v>
      </c>
      <c r="T4">
        <v>3003379</v>
      </c>
      <c r="U4" s="2" t="s">
        <v>588</v>
      </c>
      <c r="V4">
        <v>1</v>
      </c>
      <c r="W4" s="2" t="s">
        <v>588</v>
      </c>
      <c r="X4" s="2" t="s">
        <v>606</v>
      </c>
      <c r="Y4">
        <v>197616</v>
      </c>
      <c r="Z4">
        <v>382767</v>
      </c>
      <c r="AA4">
        <v>1816828</v>
      </c>
      <c r="AB4">
        <v>2089348</v>
      </c>
      <c r="AC4" s="2" t="s">
        <v>423</v>
      </c>
      <c r="AD4" s="2" t="s">
        <v>438</v>
      </c>
    </row>
    <row r="5" spans="1:36">
      <c r="A5" s="1">
        <v>44863.708333333336</v>
      </c>
      <c r="B5" s="2" t="s">
        <v>12</v>
      </c>
      <c r="C5">
        <v>15</v>
      </c>
      <c r="D5" s="2" t="s">
        <v>40</v>
      </c>
      <c r="E5">
        <v>4083956555</v>
      </c>
      <c r="F5">
        <v>1425084984</v>
      </c>
      <c r="G5">
        <v>263</v>
      </c>
      <c r="H5">
        <v>12</v>
      </c>
      <c r="I5">
        <v>275</v>
      </c>
      <c r="J5">
        <v>43123</v>
      </c>
      <c r="K5">
        <v>43398</v>
      </c>
      <c r="L5">
        <v>21</v>
      </c>
      <c r="M5">
        <v>1794</v>
      </c>
      <c r="N5">
        <v>2237201</v>
      </c>
      <c r="O5">
        <v>11292</v>
      </c>
      <c r="P5" s="2" t="s">
        <v>588</v>
      </c>
      <c r="Q5" s="2" t="s">
        <v>588</v>
      </c>
      <c r="R5">
        <v>2291891</v>
      </c>
      <c r="S5">
        <v>19323052</v>
      </c>
      <c r="T5">
        <v>5267294</v>
      </c>
      <c r="U5" s="2" t="s">
        <v>588</v>
      </c>
      <c r="V5">
        <v>2</v>
      </c>
      <c r="W5" s="2" t="s">
        <v>588</v>
      </c>
      <c r="X5" s="2" t="s">
        <v>588</v>
      </c>
      <c r="Y5">
        <v>943882</v>
      </c>
      <c r="Z5">
        <v>1348009</v>
      </c>
      <c r="AA5">
        <v>9279594</v>
      </c>
      <c r="AB5">
        <v>10043458</v>
      </c>
      <c r="AC5" s="2" t="s">
        <v>423</v>
      </c>
      <c r="AD5" s="2" t="s">
        <v>426</v>
      </c>
    </row>
    <row r="6" spans="1:36">
      <c r="A6" s="1">
        <v>44863.708333333336</v>
      </c>
      <c r="B6" s="2" t="s">
        <v>12</v>
      </c>
      <c r="C6">
        <v>8</v>
      </c>
      <c r="D6" s="2" t="s">
        <v>51</v>
      </c>
      <c r="E6">
        <v>4449436681</v>
      </c>
      <c r="F6">
        <v>113417208</v>
      </c>
      <c r="G6">
        <v>1106</v>
      </c>
      <c r="H6">
        <v>33</v>
      </c>
      <c r="I6">
        <v>1139</v>
      </c>
      <c r="J6">
        <v>36924</v>
      </c>
      <c r="K6">
        <v>38063</v>
      </c>
      <c r="L6">
        <v>-938</v>
      </c>
      <c r="M6">
        <v>2425</v>
      </c>
      <c r="N6">
        <v>1901201</v>
      </c>
      <c r="O6">
        <v>18234</v>
      </c>
      <c r="P6" s="2" t="s">
        <v>588</v>
      </c>
      <c r="Q6" s="2" t="s">
        <v>588</v>
      </c>
      <c r="R6">
        <v>1957498</v>
      </c>
      <c r="S6">
        <v>18261079</v>
      </c>
      <c r="T6">
        <v>2903679</v>
      </c>
      <c r="U6" s="2" t="s">
        <v>588</v>
      </c>
      <c r="V6">
        <v>5</v>
      </c>
      <c r="W6" s="2" t="s">
        <v>588</v>
      </c>
      <c r="X6" s="2" t="s">
        <v>588</v>
      </c>
      <c r="Y6">
        <v>1053632</v>
      </c>
      <c r="Z6">
        <v>903866</v>
      </c>
      <c r="AA6">
        <v>10216984</v>
      </c>
      <c r="AB6">
        <v>8044095</v>
      </c>
      <c r="AC6" s="2" t="s">
        <v>427</v>
      </c>
      <c r="AD6" s="2" t="s">
        <v>428</v>
      </c>
      <c r="AG6" s="17" t="s">
        <v>599</v>
      </c>
    </row>
    <row r="7" spans="1:36">
      <c r="A7" s="1">
        <v>44863.708333333336</v>
      </c>
      <c r="B7" s="2" t="s">
        <v>12</v>
      </c>
      <c r="C7">
        <v>6</v>
      </c>
      <c r="D7" s="2" t="s">
        <v>70</v>
      </c>
      <c r="E7">
        <v>456494354</v>
      </c>
      <c r="F7">
        <v>1376813649</v>
      </c>
      <c r="G7">
        <v>204</v>
      </c>
      <c r="H7">
        <v>3</v>
      </c>
      <c r="I7">
        <v>207</v>
      </c>
      <c r="J7">
        <v>9361</v>
      </c>
      <c r="K7">
        <v>9568</v>
      </c>
      <c r="L7">
        <v>-64</v>
      </c>
      <c r="M7">
        <v>806</v>
      </c>
      <c r="N7">
        <v>509896</v>
      </c>
      <c r="O7">
        <v>5574</v>
      </c>
      <c r="P7" s="2" t="s">
        <v>588</v>
      </c>
      <c r="Q7" s="2" t="s">
        <v>588</v>
      </c>
      <c r="R7">
        <v>525038</v>
      </c>
      <c r="S7">
        <v>7309023</v>
      </c>
      <c r="T7">
        <v>1220897</v>
      </c>
      <c r="U7" s="2" t="s">
        <v>607</v>
      </c>
      <c r="V7">
        <v>1</v>
      </c>
      <c r="W7" s="2" t="s">
        <v>588</v>
      </c>
      <c r="X7" s="2" t="s">
        <v>588</v>
      </c>
      <c r="Y7">
        <v>229257</v>
      </c>
      <c r="Z7">
        <v>295781</v>
      </c>
      <c r="AA7">
        <v>3684159</v>
      </c>
      <c r="AB7">
        <v>3624864</v>
      </c>
      <c r="AC7" s="2" t="s">
        <v>427</v>
      </c>
      <c r="AD7" s="2" t="s">
        <v>429</v>
      </c>
      <c r="AH7" t="s">
        <v>594</v>
      </c>
      <c r="AI7" t="s">
        <v>595</v>
      </c>
    </row>
    <row r="8" spans="1:36">
      <c r="A8" s="1">
        <v>44863.708333333336</v>
      </c>
      <c r="B8" s="2" t="s">
        <v>12</v>
      </c>
      <c r="C8">
        <v>12</v>
      </c>
      <c r="D8" s="2" t="s">
        <v>79</v>
      </c>
      <c r="E8">
        <v>4189277044</v>
      </c>
      <c r="F8">
        <v>1248366722</v>
      </c>
      <c r="G8">
        <v>632</v>
      </c>
      <c r="H8">
        <v>32</v>
      </c>
      <c r="I8">
        <v>664</v>
      </c>
      <c r="J8">
        <v>52134</v>
      </c>
      <c r="K8">
        <v>52798</v>
      </c>
      <c r="L8">
        <v>-1158</v>
      </c>
      <c r="M8">
        <v>2629</v>
      </c>
      <c r="N8">
        <v>2100485</v>
      </c>
      <c r="O8">
        <v>12217</v>
      </c>
      <c r="P8" s="2" t="s">
        <v>588</v>
      </c>
      <c r="Q8" s="2" t="s">
        <v>588</v>
      </c>
      <c r="R8">
        <v>2165500</v>
      </c>
      <c r="S8">
        <v>24563537</v>
      </c>
      <c r="T8">
        <v>5967250</v>
      </c>
      <c r="U8" s="2" t="s">
        <v>588</v>
      </c>
      <c r="V8">
        <v>1</v>
      </c>
      <c r="W8" s="2" t="s">
        <v>588</v>
      </c>
      <c r="X8" s="2" t="s">
        <v>588</v>
      </c>
      <c r="Y8">
        <v>1022497</v>
      </c>
      <c r="Z8">
        <v>1143003</v>
      </c>
      <c r="AA8">
        <v>9372306</v>
      </c>
      <c r="AB8">
        <v>15191231</v>
      </c>
      <c r="AC8" s="2" t="s">
        <v>430</v>
      </c>
      <c r="AD8" s="2" t="s">
        <v>431</v>
      </c>
      <c r="AG8" s="16" t="s">
        <v>597</v>
      </c>
      <c r="AH8">
        <f>ROW(A46)-ROW(A26)+1</f>
        <v>21</v>
      </c>
      <c r="AI8">
        <f>COLUMN(AF26)-COLUMN(A26)+1</f>
        <v>32</v>
      </c>
    </row>
    <row r="9" spans="1:36">
      <c r="A9" s="1">
        <v>44863.708333333336</v>
      </c>
      <c r="B9" s="2" t="s">
        <v>12</v>
      </c>
      <c r="C9">
        <v>7</v>
      </c>
      <c r="D9" s="2" t="s">
        <v>90</v>
      </c>
      <c r="E9">
        <v>4441149315</v>
      </c>
      <c r="F9">
        <v>89326992</v>
      </c>
      <c r="G9">
        <v>244</v>
      </c>
      <c r="H9">
        <v>8</v>
      </c>
      <c r="I9">
        <v>252</v>
      </c>
      <c r="J9">
        <v>8192</v>
      </c>
      <c r="K9">
        <v>8444</v>
      </c>
      <c r="L9">
        <v>-301</v>
      </c>
      <c r="M9">
        <v>684</v>
      </c>
      <c r="N9">
        <v>589995</v>
      </c>
      <c r="O9">
        <v>5622</v>
      </c>
      <c r="P9" s="2" t="s">
        <v>588</v>
      </c>
      <c r="Q9" s="2" t="s">
        <v>588</v>
      </c>
      <c r="R9">
        <v>604061</v>
      </c>
      <c r="S9">
        <v>6438653</v>
      </c>
      <c r="T9">
        <v>1459198</v>
      </c>
      <c r="U9" s="2" t="s">
        <v>588</v>
      </c>
      <c r="V9">
        <v>1</v>
      </c>
      <c r="W9" s="2" t="s">
        <v>588</v>
      </c>
      <c r="X9" s="2" t="s">
        <v>608</v>
      </c>
      <c r="Y9">
        <v>267731</v>
      </c>
      <c r="Z9">
        <v>336330</v>
      </c>
      <c r="AA9">
        <v>2616845</v>
      </c>
      <c r="AB9">
        <v>3821808</v>
      </c>
      <c r="AC9" s="2" t="s">
        <v>432</v>
      </c>
      <c r="AD9" s="2" t="s">
        <v>433</v>
      </c>
      <c r="AG9" s="16" t="s">
        <v>596</v>
      </c>
      <c r="AH9">
        <f>ROW(A22)-ROW(A2)+1</f>
        <v>21</v>
      </c>
      <c r="AI9" s="2">
        <f>COLUMN(AD2)-COLUMN(A2)+1</f>
        <v>30</v>
      </c>
    </row>
    <row r="10" spans="1:36">
      <c r="A10" s="1">
        <v>44863.708333333336</v>
      </c>
      <c r="B10" s="2" t="s">
        <v>12</v>
      </c>
      <c r="C10">
        <v>3</v>
      </c>
      <c r="D10" s="2" t="s">
        <v>99</v>
      </c>
      <c r="E10">
        <v>4546679409</v>
      </c>
      <c r="F10">
        <v>9190347404</v>
      </c>
      <c r="G10">
        <v>1048</v>
      </c>
      <c r="H10">
        <v>24</v>
      </c>
      <c r="I10">
        <v>1072</v>
      </c>
      <c r="J10">
        <v>70315</v>
      </c>
      <c r="K10">
        <v>71387</v>
      </c>
      <c r="L10">
        <v>-2342</v>
      </c>
      <c r="M10">
        <v>4989</v>
      </c>
      <c r="N10">
        <v>3663713</v>
      </c>
      <c r="O10">
        <v>43086</v>
      </c>
      <c r="P10" s="2" t="s">
        <v>588</v>
      </c>
      <c r="Q10" s="2" t="s">
        <v>588</v>
      </c>
      <c r="R10">
        <v>3778186</v>
      </c>
      <c r="S10">
        <v>42556099</v>
      </c>
      <c r="T10">
        <v>8901371</v>
      </c>
      <c r="U10" s="2" t="s">
        <v>588</v>
      </c>
      <c r="V10">
        <v>0</v>
      </c>
      <c r="W10" s="2" t="s">
        <v>588</v>
      </c>
      <c r="X10" s="2" t="s">
        <v>588</v>
      </c>
      <c r="Y10">
        <v>1506565</v>
      </c>
      <c r="Z10">
        <v>2271621</v>
      </c>
      <c r="AA10">
        <v>16702664</v>
      </c>
      <c r="AB10">
        <v>25853435</v>
      </c>
      <c r="AC10" s="2" t="s">
        <v>432</v>
      </c>
      <c r="AD10" s="2" t="s">
        <v>434</v>
      </c>
    </row>
    <row r="11" spans="1:36">
      <c r="A11" s="1">
        <v>44863.708333333336</v>
      </c>
      <c r="B11" s="2" t="s">
        <v>12</v>
      </c>
      <c r="C11">
        <v>11</v>
      </c>
      <c r="D11" s="2" t="s">
        <v>124</v>
      </c>
      <c r="E11">
        <v>4361675973</v>
      </c>
      <c r="F11">
        <v>135188753</v>
      </c>
      <c r="G11">
        <v>136</v>
      </c>
      <c r="H11">
        <v>6</v>
      </c>
      <c r="I11">
        <v>142</v>
      </c>
      <c r="J11">
        <v>7124</v>
      </c>
      <c r="K11">
        <v>7266</v>
      </c>
      <c r="L11">
        <v>-126</v>
      </c>
      <c r="M11">
        <v>675</v>
      </c>
      <c r="N11">
        <v>641771</v>
      </c>
      <c r="O11">
        <v>4160</v>
      </c>
      <c r="P11" s="2" t="s">
        <v>588</v>
      </c>
      <c r="Q11" s="2" t="s">
        <v>588</v>
      </c>
      <c r="R11">
        <v>653197</v>
      </c>
      <c r="S11">
        <v>3603471</v>
      </c>
      <c r="T11">
        <v>2601174</v>
      </c>
      <c r="U11" s="2" t="s">
        <v>588</v>
      </c>
      <c r="V11">
        <v>0</v>
      </c>
      <c r="W11" s="2" t="s">
        <v>588</v>
      </c>
      <c r="X11" s="2" t="s">
        <v>588</v>
      </c>
      <c r="Y11">
        <v>221136</v>
      </c>
      <c r="Z11">
        <v>432061</v>
      </c>
      <c r="AA11">
        <v>2010412</v>
      </c>
      <c r="AB11">
        <v>1593059</v>
      </c>
      <c r="AC11" s="2" t="s">
        <v>430</v>
      </c>
      <c r="AD11" s="2" t="s">
        <v>435</v>
      </c>
    </row>
    <row r="12" spans="1:36">
      <c r="A12" s="1">
        <v>44863.708333333336</v>
      </c>
      <c r="B12" s="2" t="s">
        <v>12</v>
      </c>
      <c r="C12">
        <v>14</v>
      </c>
      <c r="D12" s="2" t="s">
        <v>135</v>
      </c>
      <c r="E12">
        <v>4155774754</v>
      </c>
      <c r="F12">
        <v>1465916051</v>
      </c>
      <c r="G12">
        <v>4</v>
      </c>
      <c r="H12">
        <v>2</v>
      </c>
      <c r="I12">
        <v>6</v>
      </c>
      <c r="J12">
        <v>4175</v>
      </c>
      <c r="K12">
        <v>4181</v>
      </c>
      <c r="L12">
        <v>-145</v>
      </c>
      <c r="M12">
        <v>78</v>
      </c>
      <c r="N12">
        <v>88892</v>
      </c>
      <c r="O12">
        <v>684</v>
      </c>
      <c r="P12" s="2" t="s">
        <v>588</v>
      </c>
      <c r="Q12" s="2" t="s">
        <v>588</v>
      </c>
      <c r="R12">
        <v>93757</v>
      </c>
      <c r="S12">
        <v>750878</v>
      </c>
      <c r="T12">
        <v>704693</v>
      </c>
      <c r="U12" s="2" t="s">
        <v>588</v>
      </c>
      <c r="V12">
        <v>0</v>
      </c>
      <c r="W12" s="2" t="s">
        <v>588</v>
      </c>
      <c r="X12" s="2" t="s">
        <v>588</v>
      </c>
      <c r="Y12">
        <v>28334</v>
      </c>
      <c r="Z12">
        <v>65423</v>
      </c>
      <c r="AA12">
        <v>492412</v>
      </c>
      <c r="AB12">
        <v>258466</v>
      </c>
      <c r="AC12" s="2" t="s">
        <v>423</v>
      </c>
      <c r="AD12" s="2" t="s">
        <v>436</v>
      </c>
      <c r="AG12" s="4" t="s">
        <v>602</v>
      </c>
    </row>
    <row r="13" spans="1:36">
      <c r="A13" s="1">
        <v>44863.708333333336</v>
      </c>
      <c r="B13" s="2" t="s">
        <v>12</v>
      </c>
      <c r="C13">
        <v>21</v>
      </c>
      <c r="D13" s="2" t="s">
        <v>140</v>
      </c>
      <c r="E13">
        <v>4649933453</v>
      </c>
      <c r="F13">
        <v>1135662422</v>
      </c>
      <c r="G13">
        <v>76</v>
      </c>
      <c r="H13">
        <v>0</v>
      </c>
      <c r="I13">
        <v>76</v>
      </c>
      <c r="J13">
        <v>3385</v>
      </c>
      <c r="K13">
        <v>3461</v>
      </c>
      <c r="L13">
        <v>-187</v>
      </c>
      <c r="M13">
        <v>265</v>
      </c>
      <c r="N13">
        <v>276509</v>
      </c>
      <c r="O13">
        <v>1572</v>
      </c>
      <c r="P13" s="2" t="s">
        <v>588</v>
      </c>
      <c r="Q13" s="2" t="s">
        <v>588</v>
      </c>
      <c r="R13">
        <v>281542</v>
      </c>
      <c r="S13">
        <v>5460255</v>
      </c>
      <c r="T13">
        <v>855921</v>
      </c>
      <c r="U13" s="2" t="s">
        <v>609</v>
      </c>
      <c r="V13">
        <v>0</v>
      </c>
      <c r="W13" s="2" t="s">
        <v>588</v>
      </c>
      <c r="X13" s="2" t="s">
        <v>609</v>
      </c>
      <c r="Y13">
        <v>86483</v>
      </c>
      <c r="Z13">
        <v>195059</v>
      </c>
      <c r="AA13">
        <v>921166</v>
      </c>
      <c r="AB13">
        <v>4539089</v>
      </c>
      <c r="AC13" s="2" t="s">
        <v>427</v>
      </c>
      <c r="AD13" s="2" t="s">
        <v>440</v>
      </c>
    </row>
    <row r="14" spans="1:36">
      <c r="A14" s="1">
        <v>44863.708333333336</v>
      </c>
      <c r="B14" s="2" t="s">
        <v>12</v>
      </c>
      <c r="C14">
        <v>22</v>
      </c>
      <c r="D14" s="2" t="s">
        <v>143</v>
      </c>
      <c r="E14">
        <v>4606893511</v>
      </c>
      <c r="F14">
        <v>1112123097</v>
      </c>
      <c r="G14">
        <v>75</v>
      </c>
      <c r="H14">
        <v>3</v>
      </c>
      <c r="I14">
        <v>78</v>
      </c>
      <c r="J14">
        <v>2494</v>
      </c>
      <c r="K14">
        <v>2572</v>
      </c>
      <c r="L14">
        <v>-100</v>
      </c>
      <c r="M14">
        <v>280</v>
      </c>
      <c r="N14">
        <v>225292</v>
      </c>
      <c r="O14">
        <v>1617</v>
      </c>
      <c r="P14" s="2" t="s">
        <v>588</v>
      </c>
      <c r="Q14" s="2" t="s">
        <v>588</v>
      </c>
      <c r="R14">
        <v>229481</v>
      </c>
      <c r="S14">
        <v>2924855</v>
      </c>
      <c r="T14">
        <v>594494</v>
      </c>
      <c r="U14" s="2" t="s">
        <v>588</v>
      </c>
      <c r="V14">
        <v>0</v>
      </c>
      <c r="W14" s="2" t="s">
        <v>588</v>
      </c>
      <c r="X14" s="2" t="s">
        <v>588</v>
      </c>
      <c r="Y14">
        <v>44298</v>
      </c>
      <c r="Z14">
        <v>185183</v>
      </c>
      <c r="AA14">
        <v>863048</v>
      </c>
      <c r="AB14">
        <v>2061807</v>
      </c>
      <c r="AC14" s="2" t="s">
        <v>427</v>
      </c>
      <c r="AD14" s="2" t="s">
        <v>441</v>
      </c>
    </row>
    <row r="15" spans="1:36">
      <c r="A15" s="1">
        <v>44863.708333333336</v>
      </c>
      <c r="B15" s="2" t="s">
        <v>12</v>
      </c>
      <c r="C15">
        <v>1</v>
      </c>
      <c r="D15" s="2" t="s">
        <v>146</v>
      </c>
      <c r="E15">
        <v>450732745</v>
      </c>
      <c r="F15">
        <v>7680687483</v>
      </c>
      <c r="G15">
        <v>642</v>
      </c>
      <c r="H15">
        <v>10</v>
      </c>
      <c r="I15">
        <v>652</v>
      </c>
      <c r="J15">
        <v>41010</v>
      </c>
      <c r="K15">
        <v>41662</v>
      </c>
      <c r="L15">
        <v>-1903</v>
      </c>
      <c r="M15">
        <v>1758</v>
      </c>
      <c r="N15">
        <v>1531813</v>
      </c>
      <c r="O15">
        <v>13677</v>
      </c>
      <c r="P15" s="2" t="s">
        <v>588</v>
      </c>
      <c r="Q15" s="2" t="s">
        <v>588</v>
      </c>
      <c r="R15">
        <v>1587152</v>
      </c>
      <c r="S15">
        <v>20024295</v>
      </c>
      <c r="T15">
        <v>4264008</v>
      </c>
      <c r="U15" s="2" t="s">
        <v>588</v>
      </c>
      <c r="V15">
        <v>0</v>
      </c>
      <c r="W15" s="2" t="s">
        <v>588</v>
      </c>
      <c r="X15" s="2" t="s">
        <v>588</v>
      </c>
      <c r="Y15">
        <v>513314</v>
      </c>
      <c r="Z15">
        <v>1073838</v>
      </c>
      <c r="AA15">
        <v>5067200</v>
      </c>
      <c r="AB15">
        <v>14957095</v>
      </c>
      <c r="AC15" s="2" t="s">
        <v>432</v>
      </c>
      <c r="AD15" s="2" t="s">
        <v>437</v>
      </c>
    </row>
    <row r="16" spans="1:36">
      <c r="A16" s="1">
        <v>44863.708333333336</v>
      </c>
      <c r="B16" s="2" t="s">
        <v>12</v>
      </c>
      <c r="C16">
        <v>16</v>
      </c>
      <c r="D16" s="2" t="s">
        <v>163</v>
      </c>
      <c r="E16">
        <v>4112559576</v>
      </c>
      <c r="F16">
        <v>1686736689</v>
      </c>
      <c r="G16">
        <v>183</v>
      </c>
      <c r="H16">
        <v>10</v>
      </c>
      <c r="I16">
        <v>193</v>
      </c>
      <c r="J16">
        <v>13969</v>
      </c>
      <c r="K16">
        <v>14162</v>
      </c>
      <c r="L16">
        <v>-103</v>
      </c>
      <c r="M16">
        <v>1213</v>
      </c>
      <c r="N16">
        <v>1493988</v>
      </c>
      <c r="O16">
        <v>9167</v>
      </c>
      <c r="P16" s="2" t="s">
        <v>588</v>
      </c>
      <c r="Q16" s="2" t="s">
        <v>588</v>
      </c>
      <c r="R16">
        <v>1517317</v>
      </c>
      <c r="S16">
        <v>12978642</v>
      </c>
      <c r="T16">
        <v>2717493</v>
      </c>
      <c r="U16" s="2" t="s">
        <v>588</v>
      </c>
      <c r="V16">
        <v>1</v>
      </c>
      <c r="W16" s="2" t="s">
        <v>588</v>
      </c>
      <c r="X16" s="2" t="s">
        <v>588</v>
      </c>
      <c r="Y16">
        <v>503326</v>
      </c>
      <c r="Z16">
        <v>1013991</v>
      </c>
      <c r="AA16">
        <v>4694309</v>
      </c>
      <c r="AB16">
        <v>8284333</v>
      </c>
      <c r="AC16" s="2" t="s">
        <v>423</v>
      </c>
      <c r="AD16" s="2" t="s">
        <v>442</v>
      </c>
    </row>
    <row r="17" spans="1:33">
      <c r="A17" s="1">
        <v>44863.708333333336</v>
      </c>
      <c r="B17" s="2" t="s">
        <v>12</v>
      </c>
      <c r="C17">
        <v>20</v>
      </c>
      <c r="D17" s="2" t="s">
        <v>176</v>
      </c>
      <c r="E17">
        <v>3921531192</v>
      </c>
      <c r="F17">
        <v>9110616306</v>
      </c>
      <c r="G17">
        <v>81</v>
      </c>
      <c r="H17">
        <v>8</v>
      </c>
      <c r="I17">
        <v>89</v>
      </c>
      <c r="J17">
        <v>7734</v>
      </c>
      <c r="K17">
        <v>7823</v>
      </c>
      <c r="L17">
        <v>-40</v>
      </c>
      <c r="M17">
        <v>469</v>
      </c>
      <c r="N17">
        <v>457329</v>
      </c>
      <c r="O17">
        <v>2783</v>
      </c>
      <c r="P17" s="2" t="s">
        <v>588</v>
      </c>
      <c r="Q17" s="2" t="s">
        <v>588</v>
      </c>
      <c r="R17">
        <v>467935</v>
      </c>
      <c r="S17">
        <v>5194260</v>
      </c>
      <c r="T17">
        <v>1743136</v>
      </c>
      <c r="U17" s="2" t="s">
        <v>588</v>
      </c>
      <c r="V17">
        <v>0</v>
      </c>
      <c r="W17" s="2" t="s">
        <v>588</v>
      </c>
      <c r="X17" s="2" t="s">
        <v>610</v>
      </c>
      <c r="Y17">
        <v>175401</v>
      </c>
      <c r="Z17">
        <v>292534</v>
      </c>
      <c r="AA17">
        <v>2170223</v>
      </c>
      <c r="AB17">
        <v>3024037</v>
      </c>
      <c r="AC17" s="2" t="s">
        <v>443</v>
      </c>
      <c r="AD17" s="2" t="s">
        <v>444</v>
      </c>
      <c r="AG17" s="4"/>
    </row>
    <row r="18" spans="1:33">
      <c r="A18" s="1">
        <v>44863.708333333336</v>
      </c>
      <c r="B18" s="2" t="s">
        <v>12</v>
      </c>
      <c r="C18">
        <v>19</v>
      </c>
      <c r="D18" s="2" t="s">
        <v>187</v>
      </c>
      <c r="E18">
        <v>3811569725</v>
      </c>
      <c r="F18">
        <v>133623567</v>
      </c>
      <c r="G18">
        <v>293</v>
      </c>
      <c r="H18">
        <v>16</v>
      </c>
      <c r="I18">
        <v>309</v>
      </c>
      <c r="J18">
        <v>20440</v>
      </c>
      <c r="K18">
        <v>20749</v>
      </c>
      <c r="L18">
        <v>321</v>
      </c>
      <c r="M18">
        <v>1282</v>
      </c>
      <c r="N18">
        <v>1655126</v>
      </c>
      <c r="O18">
        <v>12247</v>
      </c>
      <c r="P18" s="2" t="s">
        <v>588</v>
      </c>
      <c r="Q18" s="2" t="s">
        <v>588</v>
      </c>
      <c r="R18">
        <v>1688122</v>
      </c>
      <c r="S18">
        <v>15459842</v>
      </c>
      <c r="T18">
        <v>9836596</v>
      </c>
      <c r="U18" s="2" t="s">
        <v>588</v>
      </c>
      <c r="V18">
        <v>0</v>
      </c>
      <c r="W18" s="2" t="s">
        <v>588</v>
      </c>
      <c r="X18" s="2" t="s">
        <v>588</v>
      </c>
      <c r="Y18">
        <v>526254</v>
      </c>
      <c r="Z18">
        <v>1161868</v>
      </c>
      <c r="AA18">
        <v>5085193</v>
      </c>
      <c r="AB18">
        <v>10374649</v>
      </c>
      <c r="AC18" s="2" t="s">
        <v>443</v>
      </c>
      <c r="AD18" s="2" t="s">
        <v>445</v>
      </c>
    </row>
    <row r="19" spans="1:33">
      <c r="A19" s="1">
        <v>44863.708333333336</v>
      </c>
      <c r="B19" s="2" t="s">
        <v>12</v>
      </c>
      <c r="C19">
        <v>9</v>
      </c>
      <c r="D19" s="2" t="s">
        <v>206</v>
      </c>
      <c r="E19">
        <v>4376923077</v>
      </c>
      <c r="F19">
        <v>1125588885</v>
      </c>
      <c r="G19">
        <v>455</v>
      </c>
      <c r="H19">
        <v>17</v>
      </c>
      <c r="I19">
        <v>472</v>
      </c>
      <c r="J19">
        <v>49455</v>
      </c>
      <c r="K19">
        <v>49927</v>
      </c>
      <c r="L19">
        <v>-253</v>
      </c>
      <c r="M19">
        <v>1745</v>
      </c>
      <c r="N19">
        <v>1407126</v>
      </c>
      <c r="O19">
        <v>10981</v>
      </c>
      <c r="P19" s="2" t="s">
        <v>588</v>
      </c>
      <c r="Q19" s="2" t="s">
        <v>588</v>
      </c>
      <c r="R19">
        <v>1468034</v>
      </c>
      <c r="S19">
        <v>15882542</v>
      </c>
      <c r="T19">
        <v>5245078</v>
      </c>
      <c r="U19" s="2" t="s">
        <v>588</v>
      </c>
      <c r="V19">
        <v>1</v>
      </c>
      <c r="W19" s="2" t="s">
        <v>588</v>
      </c>
      <c r="X19" s="2" t="s">
        <v>588</v>
      </c>
      <c r="Y19">
        <v>691757</v>
      </c>
      <c r="Z19">
        <v>776277</v>
      </c>
      <c r="AA19">
        <v>6993820</v>
      </c>
      <c r="AB19">
        <v>8888722</v>
      </c>
      <c r="AC19" s="2" t="s">
        <v>430</v>
      </c>
      <c r="AD19" s="2" t="s">
        <v>439</v>
      </c>
    </row>
    <row r="20" spans="1:33">
      <c r="A20" s="1">
        <v>44863.708333333336</v>
      </c>
      <c r="B20" s="2" t="s">
        <v>12</v>
      </c>
      <c r="C20">
        <v>10</v>
      </c>
      <c r="D20" s="2" t="s">
        <v>227</v>
      </c>
      <c r="E20">
        <v>4310675841</v>
      </c>
      <c r="F20">
        <v>1238824698</v>
      </c>
      <c r="G20">
        <v>230</v>
      </c>
      <c r="H20">
        <v>5</v>
      </c>
      <c r="I20">
        <v>235</v>
      </c>
      <c r="J20">
        <v>5822</v>
      </c>
      <c r="K20">
        <v>6057</v>
      </c>
      <c r="L20">
        <v>-243</v>
      </c>
      <c r="M20">
        <v>525</v>
      </c>
      <c r="N20">
        <v>392584</v>
      </c>
      <c r="O20">
        <v>2179</v>
      </c>
      <c r="P20" s="2" t="s">
        <v>588</v>
      </c>
      <c r="Q20" s="2" t="s">
        <v>588</v>
      </c>
      <c r="R20">
        <v>400820</v>
      </c>
      <c r="S20">
        <v>4802519</v>
      </c>
      <c r="T20">
        <v>791004</v>
      </c>
      <c r="U20" s="2" t="s">
        <v>611</v>
      </c>
      <c r="V20">
        <v>2</v>
      </c>
      <c r="W20" s="2" t="s">
        <v>588</v>
      </c>
      <c r="X20" s="2" t="s">
        <v>588</v>
      </c>
      <c r="Y20">
        <v>154293</v>
      </c>
      <c r="Z20">
        <v>246527</v>
      </c>
      <c r="AA20">
        <v>1719471</v>
      </c>
      <c r="AB20">
        <v>3083048</v>
      </c>
      <c r="AC20" s="2" t="s">
        <v>430</v>
      </c>
      <c r="AD20" s="2" t="s">
        <v>446</v>
      </c>
    </row>
    <row r="21" spans="1:33">
      <c r="A21" s="1">
        <v>44863.708333333336</v>
      </c>
      <c r="B21" s="2" t="s">
        <v>12</v>
      </c>
      <c r="C21">
        <v>2</v>
      </c>
      <c r="D21" s="2" t="s">
        <v>232</v>
      </c>
      <c r="E21">
        <v>4573750286</v>
      </c>
      <c r="F21">
        <v>7320149366</v>
      </c>
      <c r="G21">
        <v>16</v>
      </c>
      <c r="H21">
        <v>0</v>
      </c>
      <c r="I21">
        <v>16</v>
      </c>
      <c r="J21">
        <v>1089</v>
      </c>
      <c r="K21">
        <v>1105</v>
      </c>
      <c r="L21">
        <v>20</v>
      </c>
      <c r="M21">
        <v>65</v>
      </c>
      <c r="N21">
        <v>45904</v>
      </c>
      <c r="O21">
        <v>555</v>
      </c>
      <c r="P21" s="2" t="s">
        <v>588</v>
      </c>
      <c r="Q21" s="2" t="s">
        <v>588</v>
      </c>
      <c r="R21">
        <v>47564</v>
      </c>
      <c r="S21">
        <v>567677</v>
      </c>
      <c r="T21">
        <v>142631</v>
      </c>
      <c r="U21" s="2" t="s">
        <v>588</v>
      </c>
      <c r="V21">
        <v>0</v>
      </c>
      <c r="W21" s="2" t="s">
        <v>588</v>
      </c>
      <c r="X21" s="2" t="s">
        <v>588</v>
      </c>
      <c r="Y21">
        <v>11677</v>
      </c>
      <c r="Z21">
        <v>35887</v>
      </c>
      <c r="AA21">
        <v>144855</v>
      </c>
      <c r="AB21">
        <v>422822</v>
      </c>
      <c r="AC21" s="2" t="s">
        <v>432</v>
      </c>
      <c r="AD21" s="2" t="s">
        <v>447</v>
      </c>
    </row>
    <row r="22" spans="1:33">
      <c r="A22" s="1">
        <v>44863.708333333336</v>
      </c>
      <c r="B22" s="2" t="s">
        <v>12</v>
      </c>
      <c r="C22">
        <v>5</v>
      </c>
      <c r="D22" s="2" t="s">
        <v>235</v>
      </c>
      <c r="E22">
        <v>4543490485</v>
      </c>
      <c r="F22">
        <v>1233845213</v>
      </c>
      <c r="G22">
        <v>709</v>
      </c>
      <c r="H22">
        <v>26</v>
      </c>
      <c r="I22">
        <v>735</v>
      </c>
      <c r="J22">
        <v>55338</v>
      </c>
      <c r="K22">
        <v>56073</v>
      </c>
      <c r="L22">
        <v>-476</v>
      </c>
      <c r="M22">
        <v>3682</v>
      </c>
      <c r="N22">
        <v>2345751</v>
      </c>
      <c r="O22">
        <v>15696</v>
      </c>
      <c r="P22" s="2" t="s">
        <v>588</v>
      </c>
      <c r="Q22" s="2" t="s">
        <v>588</v>
      </c>
      <c r="R22">
        <v>2417520</v>
      </c>
      <c r="S22">
        <v>34412502</v>
      </c>
      <c r="T22">
        <v>5160729</v>
      </c>
      <c r="U22" s="2" t="s">
        <v>588</v>
      </c>
      <c r="V22">
        <v>7</v>
      </c>
      <c r="W22" s="2" t="s">
        <v>588</v>
      </c>
      <c r="X22" s="2" t="s">
        <v>588</v>
      </c>
      <c r="Y22">
        <v>968168</v>
      </c>
      <c r="Z22">
        <v>1449352</v>
      </c>
      <c r="AA22">
        <v>10875953</v>
      </c>
      <c r="AB22">
        <v>23536549</v>
      </c>
      <c r="AC22" s="2" t="s">
        <v>427</v>
      </c>
      <c r="AD22" s="2" t="s">
        <v>448</v>
      </c>
    </row>
    <row r="25" spans="1:33">
      <c r="A25" s="8" t="s">
        <v>1</v>
      </c>
      <c r="B25" s="7" t="s">
        <v>2</v>
      </c>
      <c r="C25" s="7" t="s">
        <v>3</v>
      </c>
      <c r="D25" s="7" t="s">
        <v>4</v>
      </c>
      <c r="E25" s="7" t="s">
        <v>8</v>
      </c>
      <c r="F25" s="7" t="s">
        <v>9</v>
      </c>
      <c r="G25" s="7" t="s">
        <v>250</v>
      </c>
      <c r="H25" s="7" t="s">
        <v>251</v>
      </c>
      <c r="I25" s="7" t="s">
        <v>252</v>
      </c>
      <c r="J25" s="7" t="s">
        <v>253</v>
      </c>
      <c r="K25" s="7" t="s">
        <v>254</v>
      </c>
      <c r="L25" s="7" t="s">
        <v>255</v>
      </c>
      <c r="M25" s="7" t="s">
        <v>256</v>
      </c>
      <c r="N25" s="7" t="s">
        <v>257</v>
      </c>
      <c r="O25" s="7" t="s">
        <v>258</v>
      </c>
      <c r="P25" s="7" t="s">
        <v>259</v>
      </c>
      <c r="Q25" s="7" t="s">
        <v>260</v>
      </c>
      <c r="R25" s="7" t="s">
        <v>10</v>
      </c>
      <c r="S25" s="7" t="s">
        <v>261</v>
      </c>
      <c r="T25" s="7" t="s">
        <v>262</v>
      </c>
      <c r="U25" s="7" t="s">
        <v>583</v>
      </c>
      <c r="V25" s="7" t="s">
        <v>584</v>
      </c>
      <c r="W25" s="7" t="s">
        <v>585</v>
      </c>
      <c r="X25" s="7" t="s">
        <v>586</v>
      </c>
      <c r="Y25" s="7" t="s">
        <v>579</v>
      </c>
      <c r="Z25" s="7" t="s">
        <v>580</v>
      </c>
      <c r="AA25" s="7" t="s">
        <v>581</v>
      </c>
      <c r="AB25" s="7" t="s">
        <v>582</v>
      </c>
      <c r="AC25" s="7" t="s">
        <v>587</v>
      </c>
      <c r="AD25" s="7" t="s">
        <v>11</v>
      </c>
      <c r="AE25" s="7" t="s">
        <v>413</v>
      </c>
      <c r="AF25" s="7" t="s">
        <v>414</v>
      </c>
    </row>
    <row r="26" spans="1:33">
      <c r="A26" s="1">
        <f>INT(A2)+17/24</f>
        <v>44863.708333333336</v>
      </c>
      <c r="B26" t="str">
        <f t="shared" ref="B26:D41" si="0">B2</f>
        <v>ITA</v>
      </c>
      <c r="C26">
        <f t="shared" si="0"/>
        <v>13</v>
      </c>
      <c r="D26" t="str">
        <f t="shared" si="0"/>
        <v>Abruzzo</v>
      </c>
      <c r="E26">
        <v>42.351221959999997</v>
      </c>
      <c r="F26">
        <v>13.39843823</v>
      </c>
      <c r="G26">
        <f t="shared" ref="G26:T41" si="1">G2</f>
        <v>162</v>
      </c>
      <c r="H26">
        <f t="shared" si="1"/>
        <v>8</v>
      </c>
      <c r="I26">
        <f t="shared" si="1"/>
        <v>170</v>
      </c>
      <c r="J26">
        <f t="shared" si="1"/>
        <v>14596</v>
      </c>
      <c r="K26">
        <f t="shared" si="1"/>
        <v>14766</v>
      </c>
      <c r="L26">
        <f t="shared" si="1"/>
        <v>-39</v>
      </c>
      <c r="M26">
        <f t="shared" si="1"/>
        <v>704</v>
      </c>
      <c r="N26">
        <f t="shared" si="1"/>
        <v>568743</v>
      </c>
      <c r="O26">
        <f t="shared" si="1"/>
        <v>3708</v>
      </c>
      <c r="P26" t="str">
        <f t="shared" si="1"/>
        <v/>
      </c>
      <c r="Q26" t="str">
        <f t="shared" si="1"/>
        <v/>
      </c>
      <c r="R26">
        <f t="shared" si="1"/>
        <v>587217</v>
      </c>
      <c r="S26">
        <f t="shared" si="1"/>
        <v>6997171</v>
      </c>
      <c r="T26">
        <f t="shared" si="1"/>
        <v>1334016</v>
      </c>
      <c r="X26">
        <f t="shared" ref="X26:X46" si="2">V2</f>
        <v>0</v>
      </c>
      <c r="Y26">
        <f t="shared" ref="Y26:AB41" si="3">Y2</f>
        <v>228574</v>
      </c>
      <c r="Z26">
        <f t="shared" si="3"/>
        <v>358643</v>
      </c>
      <c r="AA26">
        <f t="shared" si="3"/>
        <v>2515043</v>
      </c>
      <c r="AB26">
        <f t="shared" si="3"/>
        <v>4482128</v>
      </c>
      <c r="AD26" t="str">
        <f t="shared" ref="AD26:AD46" si="4">IF(U2="","",U2)</f>
        <v/>
      </c>
    </row>
    <row r="27" spans="1:33">
      <c r="A27" s="1">
        <f>A26</f>
        <v>44863.708333333336</v>
      </c>
      <c r="B27" t="str">
        <f t="shared" si="0"/>
        <v>ITA</v>
      </c>
      <c r="C27">
        <f t="shared" si="0"/>
        <v>17</v>
      </c>
      <c r="D27" t="str">
        <f t="shared" si="0"/>
        <v>Basilicata</v>
      </c>
      <c r="E27">
        <v>40.639470520000003</v>
      </c>
      <c r="F27">
        <v>15.805148340000001</v>
      </c>
      <c r="G27">
        <f t="shared" si="1"/>
        <v>29</v>
      </c>
      <c r="H27">
        <f t="shared" si="1"/>
        <v>0</v>
      </c>
      <c r="I27">
        <f t="shared" si="1"/>
        <v>29</v>
      </c>
      <c r="J27">
        <f t="shared" si="1"/>
        <v>4744</v>
      </c>
      <c r="K27">
        <f t="shared" si="1"/>
        <v>4773</v>
      </c>
      <c r="L27">
        <f t="shared" si="1"/>
        <v>-59</v>
      </c>
      <c r="M27">
        <f t="shared" si="1"/>
        <v>121</v>
      </c>
      <c r="N27">
        <f t="shared" si="1"/>
        <v>183046</v>
      </c>
      <c r="O27">
        <f t="shared" si="1"/>
        <v>989</v>
      </c>
      <c r="P27" t="str">
        <f t="shared" si="1"/>
        <v/>
      </c>
      <c r="Q27" t="str">
        <f t="shared" si="1"/>
        <v/>
      </c>
      <c r="R27">
        <f t="shared" si="1"/>
        <v>188808</v>
      </c>
      <c r="S27">
        <f t="shared" si="1"/>
        <v>1261415</v>
      </c>
      <c r="T27">
        <f t="shared" si="1"/>
        <v>391335</v>
      </c>
      <c r="X27">
        <f t="shared" si="2"/>
        <v>0</v>
      </c>
      <c r="Y27">
        <f t="shared" si="3"/>
        <v>70376</v>
      </c>
      <c r="Z27">
        <f t="shared" si="3"/>
        <v>118432</v>
      </c>
      <c r="AA27">
        <f t="shared" si="3"/>
        <v>692641</v>
      </c>
      <c r="AB27">
        <f t="shared" si="3"/>
        <v>568774</v>
      </c>
      <c r="AD27" t="str">
        <f t="shared" si="4"/>
        <v>Il dato relativo al numero dei “Casi in isolamento domiciliare” ed ai “Guariti” è in corso di revisione.</v>
      </c>
    </row>
    <row r="28" spans="1:33">
      <c r="A28" s="1">
        <f t="shared" ref="A28:A46" si="5">A27</f>
        <v>44863.708333333336</v>
      </c>
      <c r="B28" t="str">
        <f t="shared" si="0"/>
        <v>ITA</v>
      </c>
      <c r="C28">
        <f t="shared" si="0"/>
        <v>18</v>
      </c>
      <c r="D28" t="str">
        <f t="shared" si="0"/>
        <v>Calabria</v>
      </c>
      <c r="E28">
        <v>38.905975980000001</v>
      </c>
      <c r="F28">
        <v>16.594401940000001</v>
      </c>
      <c r="G28">
        <f t="shared" si="1"/>
        <v>128</v>
      </c>
      <c r="H28">
        <f t="shared" si="1"/>
        <v>4</v>
      </c>
      <c r="I28">
        <f t="shared" si="1"/>
        <v>132</v>
      </c>
      <c r="J28">
        <f t="shared" si="1"/>
        <v>8838</v>
      </c>
      <c r="K28">
        <f t="shared" si="1"/>
        <v>8970</v>
      </c>
      <c r="L28">
        <f t="shared" si="1"/>
        <v>-586</v>
      </c>
      <c r="M28">
        <f t="shared" si="1"/>
        <v>613</v>
      </c>
      <c r="N28">
        <f t="shared" si="1"/>
        <v>568352</v>
      </c>
      <c r="O28">
        <f t="shared" si="1"/>
        <v>3061</v>
      </c>
      <c r="P28" t="str">
        <f t="shared" si="1"/>
        <v/>
      </c>
      <c r="Q28" t="str">
        <f t="shared" si="1"/>
        <v/>
      </c>
      <c r="R28">
        <f t="shared" si="1"/>
        <v>580383</v>
      </c>
      <c r="S28">
        <f t="shared" si="1"/>
        <v>3906176</v>
      </c>
      <c r="T28">
        <f t="shared" si="1"/>
        <v>3003379</v>
      </c>
      <c r="X28">
        <f t="shared" si="2"/>
        <v>1</v>
      </c>
      <c r="Y28">
        <f t="shared" si="3"/>
        <v>197616</v>
      </c>
      <c r="Z28">
        <f t="shared" si="3"/>
        <v>382767</v>
      </c>
      <c r="AA28">
        <f t="shared" si="3"/>
        <v>1816828</v>
      </c>
      <c r="AB28">
        <f t="shared" si="3"/>
        <v>2089348</v>
      </c>
      <c r="AD28" t="str">
        <f t="shared" si="4"/>
        <v/>
      </c>
    </row>
    <row r="29" spans="1:33">
      <c r="A29" s="1">
        <f t="shared" si="5"/>
        <v>44863.708333333336</v>
      </c>
      <c r="B29" t="str">
        <f t="shared" si="0"/>
        <v>ITA</v>
      </c>
      <c r="C29">
        <f t="shared" si="0"/>
        <v>15</v>
      </c>
      <c r="D29" t="str">
        <f t="shared" si="0"/>
        <v>Campania</v>
      </c>
      <c r="E29">
        <v>40.839565550000003</v>
      </c>
      <c r="F29">
        <v>14.250849840000001</v>
      </c>
      <c r="G29">
        <f t="shared" si="1"/>
        <v>263</v>
      </c>
      <c r="H29">
        <f t="shared" si="1"/>
        <v>12</v>
      </c>
      <c r="I29">
        <f t="shared" si="1"/>
        <v>275</v>
      </c>
      <c r="J29">
        <f t="shared" si="1"/>
        <v>43123</v>
      </c>
      <c r="K29">
        <f t="shared" si="1"/>
        <v>43398</v>
      </c>
      <c r="L29">
        <f t="shared" si="1"/>
        <v>21</v>
      </c>
      <c r="M29">
        <f t="shared" si="1"/>
        <v>1794</v>
      </c>
      <c r="N29">
        <f t="shared" si="1"/>
        <v>2237201</v>
      </c>
      <c r="O29">
        <f t="shared" si="1"/>
        <v>11292</v>
      </c>
      <c r="P29" t="str">
        <f t="shared" si="1"/>
        <v/>
      </c>
      <c r="Q29" t="str">
        <f t="shared" si="1"/>
        <v/>
      </c>
      <c r="R29">
        <f t="shared" si="1"/>
        <v>2291891</v>
      </c>
      <c r="S29">
        <f t="shared" si="1"/>
        <v>19323052</v>
      </c>
      <c r="T29">
        <f t="shared" si="1"/>
        <v>5267294</v>
      </c>
      <c r="X29">
        <f t="shared" si="2"/>
        <v>2</v>
      </c>
      <c r="Y29">
        <f t="shared" si="3"/>
        <v>943882</v>
      </c>
      <c r="Z29">
        <f t="shared" si="3"/>
        <v>1348009</v>
      </c>
      <c r="AA29">
        <f t="shared" si="3"/>
        <v>9279594</v>
      </c>
      <c r="AB29">
        <f t="shared" si="3"/>
        <v>10043458</v>
      </c>
      <c r="AD29" t="str">
        <f t="shared" si="4"/>
        <v/>
      </c>
    </row>
    <row r="30" spans="1:33">
      <c r="A30" s="1">
        <f t="shared" si="5"/>
        <v>44863.708333333336</v>
      </c>
      <c r="B30" t="str">
        <f t="shared" si="0"/>
        <v>ITA</v>
      </c>
      <c r="C30">
        <f t="shared" si="0"/>
        <v>8</v>
      </c>
      <c r="D30" t="str">
        <f t="shared" si="0"/>
        <v>Emilia-Romagna</v>
      </c>
      <c r="E30">
        <v>44.494366810000002</v>
      </c>
      <c r="F30">
        <v>11.341720799999999</v>
      </c>
      <c r="G30">
        <f t="shared" si="1"/>
        <v>1106</v>
      </c>
      <c r="H30">
        <f t="shared" si="1"/>
        <v>33</v>
      </c>
      <c r="I30">
        <f t="shared" si="1"/>
        <v>1139</v>
      </c>
      <c r="J30">
        <f t="shared" si="1"/>
        <v>36924</v>
      </c>
      <c r="K30">
        <f t="shared" si="1"/>
        <v>38063</v>
      </c>
      <c r="L30">
        <f t="shared" si="1"/>
        <v>-938</v>
      </c>
      <c r="M30">
        <f t="shared" si="1"/>
        <v>2425</v>
      </c>
      <c r="N30">
        <f t="shared" si="1"/>
        <v>1901201</v>
      </c>
      <c r="O30">
        <f t="shared" si="1"/>
        <v>18234</v>
      </c>
      <c r="P30" t="str">
        <f t="shared" si="1"/>
        <v/>
      </c>
      <c r="Q30" t="str">
        <f t="shared" si="1"/>
        <v/>
      </c>
      <c r="R30">
        <f t="shared" si="1"/>
        <v>1957498</v>
      </c>
      <c r="S30">
        <f t="shared" si="1"/>
        <v>18261079</v>
      </c>
      <c r="T30">
        <f t="shared" si="1"/>
        <v>2903679</v>
      </c>
      <c r="X30">
        <f t="shared" si="2"/>
        <v>5</v>
      </c>
      <c r="Y30">
        <f t="shared" si="3"/>
        <v>1053632</v>
      </c>
      <c r="Z30">
        <f t="shared" si="3"/>
        <v>903866</v>
      </c>
      <c r="AA30">
        <f t="shared" si="3"/>
        <v>10216984</v>
      </c>
      <c r="AB30">
        <f t="shared" si="3"/>
        <v>8044095</v>
      </c>
      <c r="AD30" t="str">
        <f t="shared" si="4"/>
        <v/>
      </c>
    </row>
    <row r="31" spans="1:33">
      <c r="A31" s="1">
        <f t="shared" si="5"/>
        <v>44863.708333333336</v>
      </c>
      <c r="B31" t="str">
        <f t="shared" si="0"/>
        <v>ITA</v>
      </c>
      <c r="C31">
        <f t="shared" si="0"/>
        <v>6</v>
      </c>
      <c r="D31" t="str">
        <f t="shared" si="0"/>
        <v>Friuli Venezia Giulia</v>
      </c>
      <c r="E31">
        <v>45.649435400000002</v>
      </c>
      <c r="F31">
        <v>13.76813649</v>
      </c>
      <c r="G31">
        <f t="shared" si="1"/>
        <v>204</v>
      </c>
      <c r="H31">
        <f t="shared" si="1"/>
        <v>3</v>
      </c>
      <c r="I31">
        <f t="shared" si="1"/>
        <v>207</v>
      </c>
      <c r="J31">
        <f t="shared" si="1"/>
        <v>9361</v>
      </c>
      <c r="K31">
        <f t="shared" si="1"/>
        <v>9568</v>
      </c>
      <c r="L31">
        <f t="shared" si="1"/>
        <v>-64</v>
      </c>
      <c r="M31">
        <f t="shared" si="1"/>
        <v>806</v>
      </c>
      <c r="N31">
        <f t="shared" si="1"/>
        <v>509896</v>
      </c>
      <c r="O31">
        <f t="shared" si="1"/>
        <v>5574</v>
      </c>
      <c r="P31" t="str">
        <f t="shared" si="1"/>
        <v/>
      </c>
      <c r="Q31" t="str">
        <f t="shared" si="1"/>
        <v/>
      </c>
      <c r="R31">
        <f t="shared" si="1"/>
        <v>525038</v>
      </c>
      <c r="S31">
        <f t="shared" si="1"/>
        <v>7309023</v>
      </c>
      <c r="T31">
        <f t="shared" si="1"/>
        <v>1220897</v>
      </c>
      <c r="X31">
        <f t="shared" si="2"/>
        <v>1</v>
      </c>
      <c r="Y31">
        <f t="shared" si="3"/>
        <v>229257</v>
      </c>
      <c r="Z31">
        <f t="shared" si="3"/>
        <v>295781</v>
      </c>
      <c r="AA31">
        <f t="shared" si="3"/>
        <v>3684159</v>
      </c>
      <c r="AB31">
        <f t="shared" si="3"/>
        <v>3624864</v>
      </c>
      <c r="AD31" t="str">
        <f t="shared" si="4"/>
        <v xml:space="preserve">Il totale dei casi positivi è stato ridotto di 3 a seguito di  2 tamponi molecolari negativi dopo test antigenico positivo (2 casi relativi alla provincia di UD) e di un test positivo rimosso dopo revisione del caso (1 caso proveniente dalla provincia di PN).		</v>
      </c>
    </row>
    <row r="32" spans="1:33">
      <c r="A32" s="1">
        <f t="shared" si="5"/>
        <v>44863.708333333336</v>
      </c>
      <c r="B32" t="str">
        <f t="shared" si="0"/>
        <v>ITA</v>
      </c>
      <c r="C32">
        <f t="shared" si="0"/>
        <v>12</v>
      </c>
      <c r="D32" t="str">
        <f t="shared" si="0"/>
        <v>Lazio</v>
      </c>
      <c r="E32">
        <v>41.89277044</v>
      </c>
      <c r="F32">
        <v>12.483667219999999</v>
      </c>
      <c r="G32">
        <f t="shared" si="1"/>
        <v>632</v>
      </c>
      <c r="H32">
        <f t="shared" si="1"/>
        <v>32</v>
      </c>
      <c r="I32">
        <f t="shared" si="1"/>
        <v>664</v>
      </c>
      <c r="J32">
        <f t="shared" si="1"/>
        <v>52134</v>
      </c>
      <c r="K32">
        <f t="shared" si="1"/>
        <v>52798</v>
      </c>
      <c r="L32">
        <f t="shared" si="1"/>
        <v>-1158</v>
      </c>
      <c r="M32">
        <f t="shared" si="1"/>
        <v>2629</v>
      </c>
      <c r="N32">
        <f t="shared" si="1"/>
        <v>2100485</v>
      </c>
      <c r="O32">
        <f t="shared" si="1"/>
        <v>12217</v>
      </c>
      <c r="P32" t="str">
        <f t="shared" si="1"/>
        <v/>
      </c>
      <c r="Q32" t="str">
        <f t="shared" si="1"/>
        <v/>
      </c>
      <c r="R32">
        <f t="shared" si="1"/>
        <v>2165500</v>
      </c>
      <c r="S32">
        <f t="shared" si="1"/>
        <v>24563537</v>
      </c>
      <c r="T32">
        <f t="shared" si="1"/>
        <v>5967250</v>
      </c>
      <c r="X32">
        <f t="shared" si="2"/>
        <v>1</v>
      </c>
      <c r="Y32">
        <f t="shared" si="3"/>
        <v>1022497</v>
      </c>
      <c r="Z32">
        <f t="shared" si="3"/>
        <v>1143003</v>
      </c>
      <c r="AA32">
        <f t="shared" si="3"/>
        <v>9372306</v>
      </c>
      <c r="AB32">
        <f t="shared" si="3"/>
        <v>15191231</v>
      </c>
      <c r="AD32" t="str">
        <f t="shared" si="4"/>
        <v/>
      </c>
    </row>
    <row r="33" spans="1:30">
      <c r="A33" s="1">
        <f t="shared" si="5"/>
        <v>44863.708333333336</v>
      </c>
      <c r="B33" t="str">
        <f t="shared" si="0"/>
        <v>ITA</v>
      </c>
      <c r="C33">
        <f t="shared" si="0"/>
        <v>7</v>
      </c>
      <c r="D33" t="str">
        <f t="shared" si="0"/>
        <v>Liguria</v>
      </c>
      <c r="E33">
        <v>44.411493149999998</v>
      </c>
      <c r="F33">
        <v>8.9326992000000001</v>
      </c>
      <c r="G33">
        <f t="shared" si="1"/>
        <v>244</v>
      </c>
      <c r="H33">
        <f t="shared" si="1"/>
        <v>8</v>
      </c>
      <c r="I33">
        <f t="shared" si="1"/>
        <v>252</v>
      </c>
      <c r="J33">
        <f t="shared" si="1"/>
        <v>8192</v>
      </c>
      <c r="K33">
        <f t="shared" si="1"/>
        <v>8444</v>
      </c>
      <c r="L33">
        <f t="shared" si="1"/>
        <v>-301</v>
      </c>
      <c r="M33">
        <f t="shared" si="1"/>
        <v>684</v>
      </c>
      <c r="N33">
        <f t="shared" si="1"/>
        <v>589995</v>
      </c>
      <c r="O33">
        <f t="shared" si="1"/>
        <v>5622</v>
      </c>
      <c r="P33" t="str">
        <f t="shared" si="1"/>
        <v/>
      </c>
      <c r="Q33" t="str">
        <f t="shared" si="1"/>
        <v/>
      </c>
      <c r="R33">
        <f t="shared" si="1"/>
        <v>604061</v>
      </c>
      <c r="S33">
        <f t="shared" si="1"/>
        <v>6438653</v>
      </c>
      <c r="T33">
        <f t="shared" si="1"/>
        <v>1459198</v>
      </c>
      <c r="X33">
        <f t="shared" si="2"/>
        <v>1</v>
      </c>
      <c r="Y33">
        <f t="shared" si="3"/>
        <v>267731</v>
      </c>
      <c r="Z33">
        <f t="shared" si="3"/>
        <v>336330</v>
      </c>
      <c r="AA33">
        <f t="shared" si="3"/>
        <v>2616845</v>
      </c>
      <c r="AB33">
        <f t="shared" si="3"/>
        <v>3821808</v>
      </c>
      <c r="AD33" t="str">
        <f t="shared" si="4"/>
        <v/>
      </c>
    </row>
    <row r="34" spans="1:30">
      <c r="A34" s="1">
        <f t="shared" si="5"/>
        <v>44863.708333333336</v>
      </c>
      <c r="B34" t="str">
        <f t="shared" si="0"/>
        <v>ITA</v>
      </c>
      <c r="C34">
        <f t="shared" si="0"/>
        <v>3</v>
      </c>
      <c r="D34" t="str">
        <f t="shared" si="0"/>
        <v>Lombardia</v>
      </c>
      <c r="E34">
        <v>45.46679409</v>
      </c>
      <c r="F34">
        <v>9.1903474040000006</v>
      </c>
      <c r="G34">
        <f t="shared" si="1"/>
        <v>1048</v>
      </c>
      <c r="H34">
        <f t="shared" si="1"/>
        <v>24</v>
      </c>
      <c r="I34">
        <f t="shared" si="1"/>
        <v>1072</v>
      </c>
      <c r="J34">
        <f t="shared" si="1"/>
        <v>70315</v>
      </c>
      <c r="K34">
        <f t="shared" si="1"/>
        <v>71387</v>
      </c>
      <c r="L34">
        <f t="shared" si="1"/>
        <v>-2342</v>
      </c>
      <c r="M34">
        <f t="shared" si="1"/>
        <v>4989</v>
      </c>
      <c r="N34">
        <f t="shared" si="1"/>
        <v>3663713</v>
      </c>
      <c r="O34">
        <f t="shared" si="1"/>
        <v>43086</v>
      </c>
      <c r="P34" t="str">
        <f t="shared" si="1"/>
        <v/>
      </c>
      <c r="Q34" t="str">
        <f t="shared" si="1"/>
        <v/>
      </c>
      <c r="R34">
        <f t="shared" si="1"/>
        <v>3778186</v>
      </c>
      <c r="S34">
        <f t="shared" si="1"/>
        <v>42556099</v>
      </c>
      <c r="T34">
        <f t="shared" si="1"/>
        <v>8901371</v>
      </c>
      <c r="X34">
        <f t="shared" si="2"/>
        <v>0</v>
      </c>
      <c r="Y34">
        <f t="shared" si="3"/>
        <v>1506565</v>
      </c>
      <c r="Z34">
        <f t="shared" si="3"/>
        <v>2271621</v>
      </c>
      <c r="AA34">
        <f t="shared" si="3"/>
        <v>16702664</v>
      </c>
      <c r="AB34">
        <f t="shared" si="3"/>
        <v>25853435</v>
      </c>
      <c r="AD34" t="str">
        <f t="shared" si="4"/>
        <v/>
      </c>
    </row>
    <row r="35" spans="1:30">
      <c r="A35" s="1">
        <f t="shared" si="5"/>
        <v>44863.708333333336</v>
      </c>
      <c r="B35" t="str">
        <f t="shared" si="0"/>
        <v>ITA</v>
      </c>
      <c r="C35">
        <f t="shared" si="0"/>
        <v>11</v>
      </c>
      <c r="D35" t="str">
        <f t="shared" si="0"/>
        <v>Marche</v>
      </c>
      <c r="E35">
        <v>43.616759729999998</v>
      </c>
      <c r="F35">
        <v>13.518875299999999</v>
      </c>
      <c r="G35">
        <f t="shared" si="1"/>
        <v>136</v>
      </c>
      <c r="H35">
        <f t="shared" si="1"/>
        <v>6</v>
      </c>
      <c r="I35">
        <f t="shared" si="1"/>
        <v>142</v>
      </c>
      <c r="J35">
        <f t="shared" si="1"/>
        <v>7124</v>
      </c>
      <c r="K35">
        <f t="shared" si="1"/>
        <v>7266</v>
      </c>
      <c r="L35">
        <f t="shared" si="1"/>
        <v>-126</v>
      </c>
      <c r="M35">
        <f t="shared" si="1"/>
        <v>675</v>
      </c>
      <c r="N35">
        <f t="shared" si="1"/>
        <v>641771</v>
      </c>
      <c r="O35">
        <f t="shared" si="1"/>
        <v>4160</v>
      </c>
      <c r="P35" t="str">
        <f t="shared" si="1"/>
        <v/>
      </c>
      <c r="Q35" t="str">
        <f t="shared" si="1"/>
        <v/>
      </c>
      <c r="R35">
        <f t="shared" si="1"/>
        <v>653197</v>
      </c>
      <c r="S35">
        <f t="shared" si="1"/>
        <v>3603471</v>
      </c>
      <c r="T35">
        <f t="shared" si="1"/>
        <v>2601174</v>
      </c>
      <c r="X35">
        <f t="shared" si="2"/>
        <v>0</v>
      </c>
      <c r="Y35">
        <f t="shared" si="3"/>
        <v>221136</v>
      </c>
      <c r="Z35">
        <f t="shared" si="3"/>
        <v>432061</v>
      </c>
      <c r="AA35">
        <f t="shared" si="3"/>
        <v>2010412</v>
      </c>
      <c r="AB35">
        <f t="shared" si="3"/>
        <v>1593059</v>
      </c>
      <c r="AD35" t="str">
        <f t="shared" si="4"/>
        <v/>
      </c>
    </row>
    <row r="36" spans="1:30">
      <c r="A36" s="1">
        <f t="shared" si="5"/>
        <v>44863.708333333336</v>
      </c>
      <c r="B36" t="str">
        <f t="shared" si="0"/>
        <v>ITA</v>
      </c>
      <c r="C36">
        <f t="shared" si="0"/>
        <v>14</v>
      </c>
      <c r="D36" t="str">
        <f t="shared" si="0"/>
        <v>Molise</v>
      </c>
      <c r="E36">
        <v>41.557747540000001</v>
      </c>
      <c r="F36">
        <v>14.65916051</v>
      </c>
      <c r="G36">
        <f t="shared" si="1"/>
        <v>4</v>
      </c>
      <c r="H36">
        <f t="shared" si="1"/>
        <v>2</v>
      </c>
      <c r="I36">
        <f t="shared" si="1"/>
        <v>6</v>
      </c>
      <c r="J36">
        <f t="shared" si="1"/>
        <v>4175</v>
      </c>
      <c r="K36">
        <f t="shared" si="1"/>
        <v>4181</v>
      </c>
      <c r="L36">
        <f t="shared" si="1"/>
        <v>-145</v>
      </c>
      <c r="M36">
        <f t="shared" si="1"/>
        <v>78</v>
      </c>
      <c r="N36">
        <f t="shared" si="1"/>
        <v>88892</v>
      </c>
      <c r="O36">
        <f t="shared" si="1"/>
        <v>684</v>
      </c>
      <c r="P36" t="str">
        <f t="shared" si="1"/>
        <v/>
      </c>
      <c r="Q36" t="str">
        <f t="shared" si="1"/>
        <v/>
      </c>
      <c r="R36">
        <f t="shared" si="1"/>
        <v>93757</v>
      </c>
      <c r="S36">
        <f t="shared" si="1"/>
        <v>750878</v>
      </c>
      <c r="T36">
        <f t="shared" si="1"/>
        <v>704693</v>
      </c>
      <c r="X36">
        <f t="shared" si="2"/>
        <v>0</v>
      </c>
      <c r="Y36">
        <f t="shared" si="3"/>
        <v>28334</v>
      </c>
      <c r="Z36">
        <f t="shared" si="3"/>
        <v>65423</v>
      </c>
      <c r="AA36">
        <f t="shared" si="3"/>
        <v>492412</v>
      </c>
      <c r="AB36">
        <f t="shared" si="3"/>
        <v>258466</v>
      </c>
      <c r="AD36" t="str">
        <f t="shared" si="4"/>
        <v/>
      </c>
    </row>
    <row r="37" spans="1:30">
      <c r="A37" s="1">
        <f t="shared" si="5"/>
        <v>44863.708333333336</v>
      </c>
      <c r="B37" t="str">
        <f t="shared" si="0"/>
        <v>ITA</v>
      </c>
      <c r="C37">
        <f t="shared" si="0"/>
        <v>21</v>
      </c>
      <c r="D37" t="str">
        <f t="shared" si="0"/>
        <v>P.A. Bolzano</v>
      </c>
      <c r="E37">
        <v>46.499334529999999</v>
      </c>
      <c r="F37">
        <v>11.35662422</v>
      </c>
      <c r="G37">
        <f t="shared" si="1"/>
        <v>76</v>
      </c>
      <c r="H37">
        <f t="shared" si="1"/>
        <v>0</v>
      </c>
      <c r="I37">
        <f t="shared" si="1"/>
        <v>76</v>
      </c>
      <c r="J37">
        <f t="shared" si="1"/>
        <v>3385</v>
      </c>
      <c r="K37">
        <f t="shared" si="1"/>
        <v>3461</v>
      </c>
      <c r="L37">
        <f t="shared" si="1"/>
        <v>-187</v>
      </c>
      <c r="M37">
        <f t="shared" si="1"/>
        <v>265</v>
      </c>
      <c r="N37">
        <f t="shared" si="1"/>
        <v>276509</v>
      </c>
      <c r="O37">
        <f t="shared" si="1"/>
        <v>1572</v>
      </c>
      <c r="P37" t="str">
        <f t="shared" si="1"/>
        <v/>
      </c>
      <c r="Q37" t="str">
        <f t="shared" si="1"/>
        <v/>
      </c>
      <c r="R37">
        <f t="shared" si="1"/>
        <v>281542</v>
      </c>
      <c r="S37">
        <f t="shared" si="1"/>
        <v>5460255</v>
      </c>
      <c r="T37">
        <f t="shared" si="1"/>
        <v>855921</v>
      </c>
      <c r="X37">
        <f t="shared" si="2"/>
        <v>0</v>
      </c>
      <c r="Y37">
        <f t="shared" si="3"/>
        <v>86483</v>
      </c>
      <c r="Z37">
        <f t="shared" si="3"/>
        <v>195059</v>
      </c>
      <c r="AA37">
        <f t="shared" si="3"/>
        <v>921166</v>
      </c>
      <c r="AB37">
        <f t="shared" si="3"/>
        <v>4539089</v>
      </c>
      <c r="AD37" t="str">
        <f t="shared" si="4"/>
        <v xml:space="preserve">265 nuovi positivi di cui 4 test antigenici confermati da test molecolare, 246 casi diagnosticati con test antigenico e 15 nuovi positivi al test PCR. </v>
      </c>
    </row>
    <row r="38" spans="1:30">
      <c r="A38" s="1">
        <f t="shared" si="5"/>
        <v>44863.708333333336</v>
      </c>
      <c r="B38" t="str">
        <f t="shared" si="0"/>
        <v>ITA</v>
      </c>
      <c r="C38">
        <f t="shared" si="0"/>
        <v>22</v>
      </c>
      <c r="D38" t="str">
        <f t="shared" si="0"/>
        <v>P.A. Trento</v>
      </c>
      <c r="E38">
        <v>46.068935109999998</v>
      </c>
      <c r="F38">
        <v>11.121230969999999</v>
      </c>
      <c r="G38">
        <f t="shared" si="1"/>
        <v>75</v>
      </c>
      <c r="H38">
        <f t="shared" si="1"/>
        <v>3</v>
      </c>
      <c r="I38">
        <f t="shared" si="1"/>
        <v>78</v>
      </c>
      <c r="J38">
        <f t="shared" si="1"/>
        <v>2494</v>
      </c>
      <c r="K38">
        <f t="shared" si="1"/>
        <v>2572</v>
      </c>
      <c r="L38">
        <f t="shared" si="1"/>
        <v>-100</v>
      </c>
      <c r="M38">
        <f t="shared" si="1"/>
        <v>280</v>
      </c>
      <c r="N38">
        <f t="shared" si="1"/>
        <v>225292</v>
      </c>
      <c r="O38">
        <f t="shared" si="1"/>
        <v>1617</v>
      </c>
      <c r="P38" t="str">
        <f t="shared" si="1"/>
        <v/>
      </c>
      <c r="Q38" t="str">
        <f t="shared" si="1"/>
        <v/>
      </c>
      <c r="R38">
        <f t="shared" si="1"/>
        <v>229481</v>
      </c>
      <c r="S38">
        <f t="shared" si="1"/>
        <v>2924855</v>
      </c>
      <c r="T38">
        <f t="shared" si="1"/>
        <v>594494</v>
      </c>
      <c r="X38">
        <f t="shared" si="2"/>
        <v>0</v>
      </c>
      <c r="Y38">
        <f t="shared" si="3"/>
        <v>44298</v>
      </c>
      <c r="Z38">
        <f t="shared" si="3"/>
        <v>185183</v>
      </c>
      <c r="AA38">
        <f t="shared" si="3"/>
        <v>863048</v>
      </c>
      <c r="AB38">
        <f t="shared" si="3"/>
        <v>2061807</v>
      </c>
      <c r="AD38" t="str">
        <f t="shared" si="4"/>
        <v/>
      </c>
    </row>
    <row r="39" spans="1:30">
      <c r="A39" s="1">
        <f t="shared" si="5"/>
        <v>44863.708333333336</v>
      </c>
      <c r="B39" t="str">
        <f t="shared" si="0"/>
        <v>ITA</v>
      </c>
      <c r="C39">
        <f t="shared" si="0"/>
        <v>1</v>
      </c>
      <c r="D39" t="str">
        <f t="shared" si="0"/>
        <v>Piemonte</v>
      </c>
      <c r="E39">
        <v>45.073274499999997</v>
      </c>
      <c r="F39">
        <v>7.6806874829999998</v>
      </c>
      <c r="G39">
        <f t="shared" si="1"/>
        <v>642</v>
      </c>
      <c r="H39">
        <f t="shared" si="1"/>
        <v>10</v>
      </c>
      <c r="I39">
        <f t="shared" si="1"/>
        <v>652</v>
      </c>
      <c r="J39">
        <f t="shared" si="1"/>
        <v>41010</v>
      </c>
      <c r="K39">
        <f t="shared" si="1"/>
        <v>41662</v>
      </c>
      <c r="L39">
        <f t="shared" si="1"/>
        <v>-1903</v>
      </c>
      <c r="M39">
        <f t="shared" si="1"/>
        <v>1758</v>
      </c>
      <c r="N39">
        <f t="shared" si="1"/>
        <v>1531813</v>
      </c>
      <c r="O39">
        <f t="shared" si="1"/>
        <v>13677</v>
      </c>
      <c r="P39" t="str">
        <f t="shared" si="1"/>
        <v/>
      </c>
      <c r="Q39" t="str">
        <f t="shared" si="1"/>
        <v/>
      </c>
      <c r="R39">
        <f t="shared" si="1"/>
        <v>1587152</v>
      </c>
      <c r="S39">
        <f t="shared" si="1"/>
        <v>20024295</v>
      </c>
      <c r="T39">
        <f t="shared" si="1"/>
        <v>4264008</v>
      </c>
      <c r="X39">
        <f t="shared" si="2"/>
        <v>0</v>
      </c>
      <c r="Y39">
        <f t="shared" si="3"/>
        <v>513314</v>
      </c>
      <c r="Z39">
        <f t="shared" si="3"/>
        <v>1073838</v>
      </c>
      <c r="AA39">
        <f t="shared" si="3"/>
        <v>5067200</v>
      </c>
      <c r="AB39">
        <f t="shared" si="3"/>
        <v>14957095</v>
      </c>
      <c r="AD39" t="str">
        <f t="shared" si="4"/>
        <v/>
      </c>
    </row>
    <row r="40" spans="1:30">
      <c r="A40" s="1">
        <f t="shared" si="5"/>
        <v>44863.708333333336</v>
      </c>
      <c r="B40" t="str">
        <f t="shared" si="0"/>
        <v>ITA</v>
      </c>
      <c r="C40">
        <f t="shared" si="0"/>
        <v>16</v>
      </c>
      <c r="D40" t="str">
        <f t="shared" si="0"/>
        <v>Puglia</v>
      </c>
      <c r="E40">
        <v>41.125595760000003</v>
      </c>
      <c r="F40">
        <v>16.86736689</v>
      </c>
      <c r="G40">
        <f t="shared" si="1"/>
        <v>183</v>
      </c>
      <c r="H40">
        <f t="shared" si="1"/>
        <v>10</v>
      </c>
      <c r="I40">
        <f t="shared" si="1"/>
        <v>193</v>
      </c>
      <c r="J40">
        <f t="shared" si="1"/>
        <v>13969</v>
      </c>
      <c r="K40">
        <f t="shared" si="1"/>
        <v>14162</v>
      </c>
      <c r="L40">
        <f t="shared" si="1"/>
        <v>-103</v>
      </c>
      <c r="M40">
        <f t="shared" si="1"/>
        <v>1213</v>
      </c>
      <c r="N40">
        <f t="shared" si="1"/>
        <v>1493988</v>
      </c>
      <c r="O40">
        <f t="shared" si="1"/>
        <v>9167</v>
      </c>
      <c r="P40" t="str">
        <f t="shared" si="1"/>
        <v/>
      </c>
      <c r="Q40" t="str">
        <f t="shared" si="1"/>
        <v/>
      </c>
      <c r="R40">
        <f t="shared" si="1"/>
        <v>1517317</v>
      </c>
      <c r="S40">
        <f t="shared" si="1"/>
        <v>12978642</v>
      </c>
      <c r="T40">
        <f t="shared" si="1"/>
        <v>2717493</v>
      </c>
      <c r="X40">
        <f t="shared" si="2"/>
        <v>1</v>
      </c>
      <c r="Y40">
        <f t="shared" si="3"/>
        <v>503326</v>
      </c>
      <c r="Z40">
        <f t="shared" si="3"/>
        <v>1013991</v>
      </c>
      <c r="AA40">
        <f t="shared" si="3"/>
        <v>4694309</v>
      </c>
      <c r="AB40">
        <f t="shared" si="3"/>
        <v>8284333</v>
      </c>
      <c r="AD40" t="str">
        <f t="shared" si="4"/>
        <v/>
      </c>
    </row>
    <row r="41" spans="1:30">
      <c r="A41" s="1">
        <f t="shared" si="5"/>
        <v>44863.708333333336</v>
      </c>
      <c r="B41" t="str">
        <f t="shared" si="0"/>
        <v>ITA</v>
      </c>
      <c r="C41">
        <f t="shared" si="0"/>
        <v>20</v>
      </c>
      <c r="D41" t="str">
        <f t="shared" si="0"/>
        <v>Sardegna</v>
      </c>
      <c r="E41">
        <v>39.215311919999998</v>
      </c>
      <c r="F41">
        <v>9.1106163060000007</v>
      </c>
      <c r="G41">
        <f t="shared" si="1"/>
        <v>81</v>
      </c>
      <c r="H41">
        <f t="shared" si="1"/>
        <v>8</v>
      </c>
      <c r="I41">
        <f t="shared" si="1"/>
        <v>89</v>
      </c>
      <c r="J41">
        <f t="shared" si="1"/>
        <v>7734</v>
      </c>
      <c r="K41">
        <f t="shared" si="1"/>
        <v>7823</v>
      </c>
      <c r="L41">
        <f t="shared" si="1"/>
        <v>-40</v>
      </c>
      <c r="M41">
        <f t="shared" si="1"/>
        <v>469</v>
      </c>
      <c r="N41">
        <f t="shared" si="1"/>
        <v>457329</v>
      </c>
      <c r="O41">
        <f t="shared" si="1"/>
        <v>2783</v>
      </c>
      <c r="P41" t="str">
        <f t="shared" si="1"/>
        <v/>
      </c>
      <c r="Q41" t="str">
        <f t="shared" si="1"/>
        <v/>
      </c>
      <c r="R41">
        <f t="shared" si="1"/>
        <v>467935</v>
      </c>
      <c r="S41">
        <f t="shared" si="1"/>
        <v>5194260</v>
      </c>
      <c r="T41">
        <f t="shared" si="1"/>
        <v>1743136</v>
      </c>
      <c r="X41">
        <f t="shared" si="2"/>
        <v>0</v>
      </c>
      <c r="Y41">
        <f t="shared" si="3"/>
        <v>175401</v>
      </c>
      <c r="Z41">
        <f t="shared" si="3"/>
        <v>292534</v>
      </c>
      <c r="AA41">
        <f t="shared" si="3"/>
        <v>2170223</v>
      </c>
      <c r="AB41">
        <f t="shared" si="3"/>
        <v>3024037</v>
      </c>
      <c r="AD41" t="str">
        <f t="shared" si="4"/>
        <v/>
      </c>
    </row>
    <row r="42" spans="1:30">
      <c r="A42" s="1">
        <f t="shared" si="5"/>
        <v>44863.708333333336</v>
      </c>
      <c r="B42" t="str">
        <f t="shared" ref="B42:D46" si="6">B18</f>
        <v>ITA</v>
      </c>
      <c r="C42">
        <f t="shared" si="6"/>
        <v>19</v>
      </c>
      <c r="D42" t="str">
        <f t="shared" si="6"/>
        <v>Sicilia</v>
      </c>
      <c r="E42">
        <v>38.115697249999997</v>
      </c>
      <c r="F42">
        <v>13.3623566999999</v>
      </c>
      <c r="G42">
        <f t="shared" ref="G42:T46" si="7">G18</f>
        <v>293</v>
      </c>
      <c r="H42">
        <f t="shared" si="7"/>
        <v>16</v>
      </c>
      <c r="I42">
        <f t="shared" si="7"/>
        <v>309</v>
      </c>
      <c r="J42">
        <f t="shared" si="7"/>
        <v>20440</v>
      </c>
      <c r="K42">
        <f t="shared" si="7"/>
        <v>20749</v>
      </c>
      <c r="L42">
        <f t="shared" si="7"/>
        <v>321</v>
      </c>
      <c r="M42">
        <f t="shared" si="7"/>
        <v>1282</v>
      </c>
      <c r="N42">
        <f t="shared" si="7"/>
        <v>1655126</v>
      </c>
      <c r="O42">
        <f t="shared" si="7"/>
        <v>12247</v>
      </c>
      <c r="P42" t="str">
        <f t="shared" si="7"/>
        <v/>
      </c>
      <c r="Q42" t="str">
        <f t="shared" si="7"/>
        <v/>
      </c>
      <c r="R42">
        <f t="shared" si="7"/>
        <v>1688122</v>
      </c>
      <c r="S42">
        <f t="shared" si="7"/>
        <v>15459842</v>
      </c>
      <c r="T42">
        <f t="shared" si="7"/>
        <v>9836596</v>
      </c>
      <c r="X42">
        <f t="shared" si="2"/>
        <v>0</v>
      </c>
      <c r="Y42">
        <f t="shared" ref="Y42:AB46" si="8">Y18</f>
        <v>526254</v>
      </c>
      <c r="Z42">
        <f t="shared" si="8"/>
        <v>1161868</v>
      </c>
      <c r="AA42">
        <f t="shared" si="8"/>
        <v>5085193</v>
      </c>
      <c r="AB42">
        <f t="shared" si="8"/>
        <v>10374649</v>
      </c>
      <c r="AD42" t="str">
        <f t="shared" si="4"/>
        <v/>
      </c>
    </row>
    <row r="43" spans="1:30">
      <c r="A43" s="1">
        <f t="shared" si="5"/>
        <v>44863.708333333336</v>
      </c>
      <c r="B43" t="str">
        <f t="shared" si="6"/>
        <v>ITA</v>
      </c>
      <c r="C43">
        <f t="shared" si="6"/>
        <v>9</v>
      </c>
      <c r="D43" t="str">
        <f t="shared" si="6"/>
        <v>Toscana</v>
      </c>
      <c r="E43">
        <v>43.76923077</v>
      </c>
      <c r="F43">
        <v>11.25588885</v>
      </c>
      <c r="G43">
        <f t="shared" si="7"/>
        <v>455</v>
      </c>
      <c r="H43">
        <f t="shared" si="7"/>
        <v>17</v>
      </c>
      <c r="I43">
        <f t="shared" si="7"/>
        <v>472</v>
      </c>
      <c r="J43">
        <f t="shared" si="7"/>
        <v>49455</v>
      </c>
      <c r="K43">
        <f t="shared" si="7"/>
        <v>49927</v>
      </c>
      <c r="L43">
        <f t="shared" si="7"/>
        <v>-253</v>
      </c>
      <c r="M43">
        <f t="shared" si="7"/>
        <v>1745</v>
      </c>
      <c r="N43">
        <f t="shared" si="7"/>
        <v>1407126</v>
      </c>
      <c r="O43">
        <f t="shared" si="7"/>
        <v>10981</v>
      </c>
      <c r="P43" t="str">
        <f t="shared" si="7"/>
        <v/>
      </c>
      <c r="Q43" t="str">
        <f t="shared" si="7"/>
        <v/>
      </c>
      <c r="R43">
        <f t="shared" si="7"/>
        <v>1468034</v>
      </c>
      <c r="S43">
        <f t="shared" si="7"/>
        <v>15882542</v>
      </c>
      <c r="T43">
        <f t="shared" si="7"/>
        <v>5245078</v>
      </c>
      <c r="X43">
        <f t="shared" si="2"/>
        <v>1</v>
      </c>
      <c r="Y43">
        <f t="shared" si="8"/>
        <v>691757</v>
      </c>
      <c r="Z43">
        <f t="shared" si="8"/>
        <v>776277</v>
      </c>
      <c r="AA43">
        <f t="shared" si="8"/>
        <v>6993820</v>
      </c>
      <c r="AB43">
        <f t="shared" si="8"/>
        <v>8888722</v>
      </c>
      <c r="AD43" t="str">
        <f t="shared" si="4"/>
        <v/>
      </c>
    </row>
    <row r="44" spans="1:30">
      <c r="A44" s="1">
        <f t="shared" si="5"/>
        <v>44863.708333333336</v>
      </c>
      <c r="B44" t="str">
        <f t="shared" si="6"/>
        <v>ITA</v>
      </c>
      <c r="C44">
        <f t="shared" si="6"/>
        <v>10</v>
      </c>
      <c r="D44" t="str">
        <f t="shared" si="6"/>
        <v>Umbria</v>
      </c>
      <c r="E44">
        <v>43.106758409999998</v>
      </c>
      <c r="F44">
        <v>12.38824698</v>
      </c>
      <c r="G44">
        <f t="shared" si="7"/>
        <v>230</v>
      </c>
      <c r="H44">
        <f t="shared" si="7"/>
        <v>5</v>
      </c>
      <c r="I44">
        <f t="shared" si="7"/>
        <v>235</v>
      </c>
      <c r="J44">
        <f t="shared" si="7"/>
        <v>5822</v>
      </c>
      <c r="K44">
        <f t="shared" si="7"/>
        <v>6057</v>
      </c>
      <c r="L44">
        <f t="shared" si="7"/>
        <v>-243</v>
      </c>
      <c r="M44">
        <f t="shared" si="7"/>
        <v>525</v>
      </c>
      <c r="N44">
        <f t="shared" si="7"/>
        <v>392584</v>
      </c>
      <c r="O44">
        <f t="shared" si="7"/>
        <v>2179</v>
      </c>
      <c r="P44" t="str">
        <f t="shared" si="7"/>
        <v/>
      </c>
      <c r="Q44" t="str">
        <f t="shared" si="7"/>
        <v/>
      </c>
      <c r="R44">
        <f t="shared" si="7"/>
        <v>400820</v>
      </c>
      <c r="S44">
        <f t="shared" si="7"/>
        <v>4802519</v>
      </c>
      <c r="T44">
        <f t="shared" si="7"/>
        <v>791004</v>
      </c>
      <c r="X44">
        <f t="shared" si="2"/>
        <v>2</v>
      </c>
      <c r="Y44">
        <f t="shared" si="8"/>
        <v>154293</v>
      </c>
      <c r="Z44">
        <f t="shared" si="8"/>
        <v>246527</v>
      </c>
      <c r="AA44">
        <f t="shared" si="8"/>
        <v>1719471</v>
      </c>
      <c r="AB44">
        <f t="shared" si="8"/>
        <v>3083048</v>
      </c>
      <c r="AD44" t="str">
        <f t="shared" si="4"/>
        <v>- Si fa presente che 1 dei ricoveri non UTI appartengono ai codici disciplina di Ostetricia &amp; Ginecologia e Pediatria. - Si fa presente che 99 dei ricoveri non UTI appartengono ad altri codici disciplina di cui 26 in discipline post-acuto, riabilitative ( cod. 60, 28, 56, 75 )</v>
      </c>
    </row>
    <row r="45" spans="1:30">
      <c r="A45" s="1">
        <f t="shared" si="5"/>
        <v>44863.708333333336</v>
      </c>
      <c r="B45" t="str">
        <f t="shared" si="6"/>
        <v>ITA</v>
      </c>
      <c r="C45">
        <f t="shared" si="6"/>
        <v>2</v>
      </c>
      <c r="D45" t="str">
        <f t="shared" si="6"/>
        <v>Valle d'Aosta</v>
      </c>
      <c r="E45">
        <v>45.737502859999999</v>
      </c>
      <c r="F45">
        <v>7.3201493659999999</v>
      </c>
      <c r="G45">
        <f t="shared" si="7"/>
        <v>16</v>
      </c>
      <c r="H45">
        <f t="shared" si="7"/>
        <v>0</v>
      </c>
      <c r="I45">
        <f t="shared" si="7"/>
        <v>16</v>
      </c>
      <c r="J45">
        <f t="shared" si="7"/>
        <v>1089</v>
      </c>
      <c r="K45">
        <f t="shared" si="7"/>
        <v>1105</v>
      </c>
      <c r="L45">
        <f t="shared" si="7"/>
        <v>20</v>
      </c>
      <c r="M45">
        <f t="shared" si="7"/>
        <v>65</v>
      </c>
      <c r="N45">
        <f t="shared" si="7"/>
        <v>45904</v>
      </c>
      <c r="O45">
        <f t="shared" si="7"/>
        <v>555</v>
      </c>
      <c r="P45" t="str">
        <f t="shared" si="7"/>
        <v/>
      </c>
      <c r="Q45" t="str">
        <f t="shared" si="7"/>
        <v/>
      </c>
      <c r="R45">
        <f t="shared" si="7"/>
        <v>47564</v>
      </c>
      <c r="S45">
        <f t="shared" si="7"/>
        <v>567677</v>
      </c>
      <c r="T45">
        <f t="shared" si="7"/>
        <v>142631</v>
      </c>
      <c r="X45">
        <f t="shared" si="2"/>
        <v>0</v>
      </c>
      <c r="Y45">
        <f t="shared" si="8"/>
        <v>11677</v>
      </c>
      <c r="Z45">
        <f t="shared" si="8"/>
        <v>35887</v>
      </c>
      <c r="AA45">
        <f t="shared" si="8"/>
        <v>144855</v>
      </c>
      <c r="AB45">
        <f t="shared" si="8"/>
        <v>422822</v>
      </c>
      <c r="AD45" t="str">
        <f t="shared" si="4"/>
        <v/>
      </c>
    </row>
    <row r="46" spans="1:30">
      <c r="A46" s="1">
        <f t="shared" si="5"/>
        <v>44863.708333333336</v>
      </c>
      <c r="B46" t="str">
        <f t="shared" si="6"/>
        <v>ITA</v>
      </c>
      <c r="C46">
        <f t="shared" si="6"/>
        <v>5</v>
      </c>
      <c r="D46" t="str">
        <f t="shared" si="6"/>
        <v>Veneto</v>
      </c>
      <c r="E46">
        <v>45.434904850000002</v>
      </c>
      <c r="F46">
        <v>12.33845213</v>
      </c>
      <c r="G46">
        <f t="shared" si="7"/>
        <v>709</v>
      </c>
      <c r="H46">
        <f t="shared" si="7"/>
        <v>26</v>
      </c>
      <c r="I46">
        <f t="shared" si="7"/>
        <v>735</v>
      </c>
      <c r="J46">
        <f t="shared" si="7"/>
        <v>55338</v>
      </c>
      <c r="K46">
        <f t="shared" si="7"/>
        <v>56073</v>
      </c>
      <c r="L46">
        <f t="shared" si="7"/>
        <v>-476</v>
      </c>
      <c r="M46">
        <f t="shared" si="7"/>
        <v>3682</v>
      </c>
      <c r="N46">
        <f t="shared" si="7"/>
        <v>2345751</v>
      </c>
      <c r="O46">
        <f t="shared" si="7"/>
        <v>15696</v>
      </c>
      <c r="P46" t="str">
        <f t="shared" si="7"/>
        <v/>
      </c>
      <c r="Q46" t="str">
        <f t="shared" si="7"/>
        <v/>
      </c>
      <c r="R46">
        <f t="shared" si="7"/>
        <v>2417520</v>
      </c>
      <c r="S46">
        <f t="shared" si="7"/>
        <v>34412502</v>
      </c>
      <c r="T46">
        <f t="shared" si="7"/>
        <v>5160729</v>
      </c>
      <c r="X46">
        <f t="shared" si="2"/>
        <v>7</v>
      </c>
      <c r="Y46">
        <f t="shared" si="8"/>
        <v>968168</v>
      </c>
      <c r="Z46">
        <f t="shared" si="8"/>
        <v>1449352</v>
      </c>
      <c r="AA46">
        <f t="shared" si="8"/>
        <v>10875953</v>
      </c>
      <c r="AB46">
        <f t="shared" si="8"/>
        <v>23536549</v>
      </c>
      <c r="AD46" t="str">
        <f t="shared" si="4"/>
        <v/>
      </c>
    </row>
    <row r="47" spans="1:30">
      <c r="A47" s="1"/>
    </row>
    <row r="48" spans="1:30">
      <c r="A48" s="1"/>
    </row>
    <row r="49" spans="1:30">
      <c r="A49" s="1"/>
    </row>
    <row r="50" spans="1:30">
      <c r="A50" s="1"/>
    </row>
    <row r="51" spans="1:30">
      <c r="A51" s="1">
        <v>44503.708333333336</v>
      </c>
      <c r="B51" t="s">
        <v>12</v>
      </c>
      <c r="C51">
        <v>13</v>
      </c>
      <c r="D51" t="s">
        <v>13</v>
      </c>
      <c r="E51">
        <v>42.351221959999997</v>
      </c>
      <c r="F51">
        <v>13.39843823</v>
      </c>
      <c r="G51">
        <v>67</v>
      </c>
      <c r="H51">
        <v>6</v>
      </c>
      <c r="I51">
        <v>73</v>
      </c>
      <c r="J51">
        <v>1856</v>
      </c>
      <c r="K51">
        <v>1929</v>
      </c>
      <c r="L51">
        <v>-2</v>
      </c>
      <c r="M51">
        <v>106</v>
      </c>
      <c r="N51">
        <v>78664</v>
      </c>
      <c r="O51">
        <v>2564</v>
      </c>
      <c r="P51">
        <v>0</v>
      </c>
      <c r="Q51">
        <v>0</v>
      </c>
      <c r="R51">
        <v>83157</v>
      </c>
      <c r="S51">
        <v>2569424</v>
      </c>
      <c r="T51">
        <v>894806</v>
      </c>
      <c r="X51">
        <v>0</v>
      </c>
      <c r="Y51">
        <v>83157</v>
      </c>
      <c r="Z51">
        <v>0</v>
      </c>
      <c r="AA51">
        <v>1493106</v>
      </c>
      <c r="AB51">
        <v>1076318</v>
      </c>
      <c r="AD51" t="s">
        <v>588</v>
      </c>
    </row>
    <row r="52" spans="1:30">
      <c r="A52" s="1">
        <v>44503.708333333336</v>
      </c>
      <c r="B52" t="s">
        <v>12</v>
      </c>
      <c r="C52">
        <v>17</v>
      </c>
      <c r="D52" t="s">
        <v>24</v>
      </c>
      <c r="E52">
        <v>40.639470520000003</v>
      </c>
      <c r="F52">
        <v>15.805148340000001</v>
      </c>
      <c r="G52">
        <v>25</v>
      </c>
      <c r="H52">
        <v>0</v>
      </c>
      <c r="I52">
        <v>25</v>
      </c>
      <c r="J52">
        <v>792</v>
      </c>
      <c r="K52">
        <v>817</v>
      </c>
      <c r="L52">
        <v>-2</v>
      </c>
      <c r="M52">
        <v>38</v>
      </c>
      <c r="N52">
        <v>29390</v>
      </c>
      <c r="O52">
        <v>624</v>
      </c>
      <c r="P52">
        <v>0</v>
      </c>
      <c r="Q52">
        <v>0</v>
      </c>
      <c r="R52">
        <v>30831</v>
      </c>
      <c r="S52">
        <v>485190</v>
      </c>
      <c r="T52">
        <v>243542</v>
      </c>
      <c r="X52">
        <v>0</v>
      </c>
      <c r="Y52">
        <v>30831</v>
      </c>
      <c r="Z52">
        <v>0</v>
      </c>
      <c r="AA52">
        <v>460877</v>
      </c>
      <c r="AB52">
        <v>24313</v>
      </c>
      <c r="AD52" t="s">
        <v>589</v>
      </c>
    </row>
    <row r="53" spans="1:30">
      <c r="A53" s="1">
        <v>44503.708333333336</v>
      </c>
      <c r="B53" t="s">
        <v>12</v>
      </c>
      <c r="C53">
        <v>18</v>
      </c>
      <c r="D53" t="s">
        <v>29</v>
      </c>
      <c r="E53">
        <v>38.905975980000001</v>
      </c>
      <c r="F53">
        <v>16.594401940000001</v>
      </c>
      <c r="G53">
        <v>98</v>
      </c>
      <c r="H53">
        <v>8</v>
      </c>
      <c r="I53">
        <v>106</v>
      </c>
      <c r="J53">
        <v>3030</v>
      </c>
      <c r="K53">
        <v>3136</v>
      </c>
      <c r="L53">
        <v>28</v>
      </c>
      <c r="M53">
        <v>161</v>
      </c>
      <c r="N53">
        <v>83225</v>
      </c>
      <c r="O53">
        <v>1454</v>
      </c>
      <c r="P53">
        <v>0</v>
      </c>
      <c r="Q53">
        <v>0</v>
      </c>
      <c r="R53">
        <v>87815</v>
      </c>
      <c r="S53">
        <v>1307813</v>
      </c>
      <c r="T53">
        <v>1123352</v>
      </c>
      <c r="X53">
        <v>3</v>
      </c>
      <c r="Y53">
        <v>87796</v>
      </c>
      <c r="Z53">
        <v>19</v>
      </c>
      <c r="AA53">
        <v>1097810</v>
      </c>
      <c r="AB53">
        <v>210003</v>
      </c>
      <c r="AD53" t="s">
        <v>588</v>
      </c>
    </row>
    <row r="54" spans="1:30">
      <c r="A54" s="1">
        <v>44503.708333333336</v>
      </c>
      <c r="B54" t="s">
        <v>12</v>
      </c>
      <c r="C54">
        <v>15</v>
      </c>
      <c r="D54" t="s">
        <v>40</v>
      </c>
      <c r="E54">
        <v>40.839565550000003</v>
      </c>
      <c r="F54">
        <v>14.250849840000001</v>
      </c>
      <c r="G54">
        <v>264</v>
      </c>
      <c r="H54">
        <v>21</v>
      </c>
      <c r="I54">
        <v>285</v>
      </c>
      <c r="J54">
        <v>9093</v>
      </c>
      <c r="K54">
        <v>9378</v>
      </c>
      <c r="L54">
        <v>243</v>
      </c>
      <c r="M54">
        <v>626</v>
      </c>
      <c r="N54">
        <v>450993</v>
      </c>
      <c r="O54">
        <v>8075</v>
      </c>
      <c r="P54">
        <v>0</v>
      </c>
      <c r="Q54">
        <v>0</v>
      </c>
      <c r="R54">
        <v>468446</v>
      </c>
      <c r="S54">
        <v>7260426</v>
      </c>
      <c r="T54">
        <v>3625141</v>
      </c>
      <c r="X54">
        <v>2</v>
      </c>
      <c r="Y54">
        <v>456858</v>
      </c>
      <c r="Z54">
        <v>11588</v>
      </c>
      <c r="AA54">
        <v>5497271</v>
      </c>
      <c r="AB54">
        <v>1763155</v>
      </c>
      <c r="AD54" t="s">
        <v>588</v>
      </c>
    </row>
    <row r="55" spans="1:30">
      <c r="A55" s="1">
        <v>44503.708333333336</v>
      </c>
      <c r="B55" t="s">
        <v>12</v>
      </c>
      <c r="C55">
        <v>8</v>
      </c>
      <c r="D55" t="s">
        <v>51</v>
      </c>
      <c r="E55">
        <v>44.494366810000002</v>
      </c>
      <c r="F55">
        <v>11.341720799999999</v>
      </c>
      <c r="G55">
        <v>315</v>
      </c>
      <c r="H55">
        <v>30</v>
      </c>
      <c r="I55">
        <v>345</v>
      </c>
      <c r="J55">
        <v>7153</v>
      </c>
      <c r="K55">
        <v>7498</v>
      </c>
      <c r="L55">
        <v>-113</v>
      </c>
      <c r="M55">
        <v>222</v>
      </c>
      <c r="N55">
        <v>412127</v>
      </c>
      <c r="O55">
        <v>13608</v>
      </c>
      <c r="P55">
        <v>0</v>
      </c>
      <c r="Q55">
        <v>0</v>
      </c>
      <c r="R55">
        <v>433233</v>
      </c>
      <c r="S55">
        <v>9709793</v>
      </c>
      <c r="T55">
        <v>2162120</v>
      </c>
      <c r="X55">
        <v>2</v>
      </c>
      <c r="Y55">
        <v>432846</v>
      </c>
      <c r="Z55">
        <v>387</v>
      </c>
      <c r="AA55">
        <v>6192234</v>
      </c>
      <c r="AB55">
        <v>3517559</v>
      </c>
      <c r="AD55" t="s">
        <v>588</v>
      </c>
    </row>
    <row r="56" spans="1:30">
      <c r="A56" s="1">
        <v>44503.708333333336</v>
      </c>
      <c r="B56" t="s">
        <v>12</v>
      </c>
      <c r="C56">
        <v>6</v>
      </c>
      <c r="D56" t="s">
        <v>70</v>
      </c>
      <c r="E56">
        <v>45.649435400000002</v>
      </c>
      <c r="F56">
        <v>13.76813649</v>
      </c>
      <c r="G56">
        <v>87</v>
      </c>
      <c r="H56">
        <v>18</v>
      </c>
      <c r="I56">
        <v>105</v>
      </c>
      <c r="J56">
        <v>2204</v>
      </c>
      <c r="K56">
        <v>2309</v>
      </c>
      <c r="L56">
        <v>51</v>
      </c>
      <c r="M56">
        <v>153</v>
      </c>
      <c r="N56">
        <v>111440</v>
      </c>
      <c r="O56">
        <v>3864</v>
      </c>
      <c r="P56">
        <v>0</v>
      </c>
      <c r="Q56">
        <v>0</v>
      </c>
      <c r="R56">
        <v>117613</v>
      </c>
      <c r="S56">
        <v>3246275</v>
      </c>
      <c r="T56">
        <v>862090</v>
      </c>
      <c r="X56">
        <v>3</v>
      </c>
      <c r="Y56">
        <v>101961</v>
      </c>
      <c r="Z56">
        <v>15652</v>
      </c>
      <c r="AA56">
        <v>2252511</v>
      </c>
      <c r="AB56">
        <v>993764</v>
      </c>
      <c r="AD56" t="s">
        <v>588</v>
      </c>
    </row>
    <row r="57" spans="1:30">
      <c r="A57" s="1">
        <v>44503.708333333336</v>
      </c>
      <c r="B57" t="s">
        <v>12</v>
      </c>
      <c r="C57">
        <v>12</v>
      </c>
      <c r="D57" t="s">
        <v>79</v>
      </c>
      <c r="E57">
        <v>41.89277044</v>
      </c>
      <c r="F57">
        <v>12.483667219999999</v>
      </c>
      <c r="G57">
        <v>438</v>
      </c>
      <c r="H57">
        <v>58</v>
      </c>
      <c r="I57">
        <v>496</v>
      </c>
      <c r="J57">
        <v>9256</v>
      </c>
      <c r="K57">
        <v>9752</v>
      </c>
      <c r="L57">
        <v>25</v>
      </c>
      <c r="M57">
        <v>456</v>
      </c>
      <c r="N57">
        <v>377876</v>
      </c>
      <c r="O57">
        <v>8807</v>
      </c>
      <c r="P57">
        <v>0</v>
      </c>
      <c r="Q57">
        <v>0</v>
      </c>
      <c r="R57">
        <v>396435</v>
      </c>
      <c r="S57">
        <v>10023774</v>
      </c>
      <c r="T57">
        <v>4772018</v>
      </c>
      <c r="X57">
        <v>4</v>
      </c>
      <c r="Y57">
        <v>386808</v>
      </c>
      <c r="Z57">
        <v>9627</v>
      </c>
      <c r="AA57">
        <v>5872567</v>
      </c>
      <c r="AB57">
        <v>4151207</v>
      </c>
      <c r="AD57" t="s">
        <v>588</v>
      </c>
    </row>
    <row r="58" spans="1:30">
      <c r="A58" s="1">
        <v>44503.708333333336</v>
      </c>
      <c r="B58" t="s">
        <v>12</v>
      </c>
      <c r="C58">
        <v>7</v>
      </c>
      <c r="D58" t="s">
        <v>90</v>
      </c>
      <c r="E58">
        <v>44.411493149999998</v>
      </c>
      <c r="F58">
        <v>8.9326992000000001</v>
      </c>
      <c r="G58">
        <v>74</v>
      </c>
      <c r="H58">
        <v>11</v>
      </c>
      <c r="I58">
        <v>85</v>
      </c>
      <c r="J58">
        <v>1147</v>
      </c>
      <c r="K58">
        <v>1232</v>
      </c>
      <c r="L58">
        <v>-13</v>
      </c>
      <c r="M58">
        <v>151</v>
      </c>
      <c r="N58">
        <v>109555</v>
      </c>
      <c r="O58">
        <v>4429</v>
      </c>
      <c r="P58">
        <v>0</v>
      </c>
      <c r="Q58">
        <v>0</v>
      </c>
      <c r="R58">
        <v>115216</v>
      </c>
      <c r="S58">
        <v>2664026</v>
      </c>
      <c r="T58">
        <v>918804</v>
      </c>
      <c r="X58">
        <v>0</v>
      </c>
      <c r="Y58">
        <v>115216</v>
      </c>
      <c r="Z58">
        <v>0</v>
      </c>
      <c r="AA58">
        <v>1721298</v>
      </c>
      <c r="AB58">
        <v>942728</v>
      </c>
      <c r="AD58" t="s">
        <v>590</v>
      </c>
    </row>
    <row r="59" spans="1:30">
      <c r="A59" s="1">
        <v>44503.708333333336</v>
      </c>
      <c r="B59" t="s">
        <v>12</v>
      </c>
      <c r="C59">
        <v>3</v>
      </c>
      <c r="D59" t="s">
        <v>99</v>
      </c>
      <c r="E59">
        <v>45.46679409</v>
      </c>
      <c r="F59">
        <v>9.1903474040000006</v>
      </c>
      <c r="G59">
        <v>317</v>
      </c>
      <c r="H59">
        <v>49</v>
      </c>
      <c r="I59">
        <v>366</v>
      </c>
      <c r="J59">
        <v>9676</v>
      </c>
      <c r="K59">
        <v>10042</v>
      </c>
      <c r="L59">
        <v>184</v>
      </c>
      <c r="M59">
        <v>682</v>
      </c>
      <c r="N59">
        <v>851450</v>
      </c>
      <c r="O59">
        <v>34172</v>
      </c>
      <c r="P59">
        <v>0</v>
      </c>
      <c r="Q59">
        <v>0</v>
      </c>
      <c r="R59">
        <v>895664</v>
      </c>
      <c r="S59">
        <v>17660262</v>
      </c>
      <c r="T59">
        <v>5836052</v>
      </c>
      <c r="X59">
        <v>3</v>
      </c>
      <c r="Y59">
        <v>895363</v>
      </c>
      <c r="Z59">
        <v>301</v>
      </c>
      <c r="AA59">
        <v>11324774</v>
      </c>
      <c r="AB59">
        <v>6335488</v>
      </c>
      <c r="AD59" t="s">
        <v>588</v>
      </c>
    </row>
    <row r="60" spans="1:30">
      <c r="A60" s="1">
        <v>44503.708333333336</v>
      </c>
      <c r="B60" t="s">
        <v>12</v>
      </c>
      <c r="C60">
        <v>11</v>
      </c>
      <c r="D60" t="s">
        <v>124</v>
      </c>
      <c r="E60">
        <v>43.616759729999998</v>
      </c>
      <c r="F60">
        <v>13.518875299999999</v>
      </c>
      <c r="G60">
        <v>61</v>
      </c>
      <c r="H60">
        <v>20</v>
      </c>
      <c r="I60">
        <v>81</v>
      </c>
      <c r="J60">
        <v>2261</v>
      </c>
      <c r="K60">
        <v>2342</v>
      </c>
      <c r="L60">
        <v>87</v>
      </c>
      <c r="M60">
        <v>140</v>
      </c>
      <c r="N60">
        <v>111009</v>
      </c>
      <c r="O60">
        <v>3108</v>
      </c>
      <c r="P60">
        <v>0</v>
      </c>
      <c r="Q60">
        <v>0</v>
      </c>
      <c r="R60">
        <v>116459</v>
      </c>
      <c r="S60">
        <v>1637909</v>
      </c>
      <c r="T60">
        <v>949664</v>
      </c>
      <c r="X60">
        <v>0</v>
      </c>
      <c r="Y60">
        <v>116459</v>
      </c>
      <c r="Z60">
        <v>0</v>
      </c>
      <c r="AA60">
        <v>1406965</v>
      </c>
      <c r="AB60">
        <v>230944</v>
      </c>
      <c r="AD60" t="s">
        <v>588</v>
      </c>
    </row>
    <row r="61" spans="1:30">
      <c r="A61" s="1">
        <v>44503.708333333336</v>
      </c>
      <c r="B61" t="s">
        <v>12</v>
      </c>
      <c r="C61">
        <v>14</v>
      </c>
      <c r="D61" t="s">
        <v>135</v>
      </c>
      <c r="E61">
        <v>41.557747540000001</v>
      </c>
      <c r="F61">
        <v>14.65916051</v>
      </c>
      <c r="G61">
        <v>5</v>
      </c>
      <c r="H61">
        <v>1</v>
      </c>
      <c r="I61">
        <v>6</v>
      </c>
      <c r="J61">
        <v>107</v>
      </c>
      <c r="K61">
        <v>113</v>
      </c>
      <c r="L61">
        <v>-1</v>
      </c>
      <c r="M61">
        <v>0</v>
      </c>
      <c r="N61">
        <v>14057</v>
      </c>
      <c r="O61">
        <v>499</v>
      </c>
      <c r="P61">
        <v>0</v>
      </c>
      <c r="Q61">
        <v>0</v>
      </c>
      <c r="R61">
        <v>14669</v>
      </c>
      <c r="S61">
        <v>286389</v>
      </c>
      <c r="T61">
        <v>252547</v>
      </c>
      <c r="X61">
        <v>0</v>
      </c>
      <c r="Y61">
        <v>14669</v>
      </c>
      <c r="Z61">
        <v>0</v>
      </c>
      <c r="AA61">
        <v>273359</v>
      </c>
      <c r="AB61">
        <v>13030</v>
      </c>
      <c r="AD61" t="s">
        <v>588</v>
      </c>
    </row>
    <row r="62" spans="1:30">
      <c r="A62" s="1">
        <v>44503.708333333336</v>
      </c>
      <c r="B62" t="s">
        <v>12</v>
      </c>
      <c r="C62">
        <v>21</v>
      </c>
      <c r="D62" t="s">
        <v>140</v>
      </c>
      <c r="E62">
        <v>46.499334529999999</v>
      </c>
      <c r="F62">
        <v>11.35662422</v>
      </c>
      <c r="G62">
        <v>59</v>
      </c>
      <c r="H62">
        <v>3</v>
      </c>
      <c r="I62">
        <v>62</v>
      </c>
      <c r="J62">
        <v>1458</v>
      </c>
      <c r="K62">
        <v>1520</v>
      </c>
      <c r="L62">
        <v>193</v>
      </c>
      <c r="M62">
        <v>205</v>
      </c>
      <c r="N62">
        <v>76617</v>
      </c>
      <c r="O62">
        <v>1205</v>
      </c>
      <c r="P62">
        <v>0</v>
      </c>
      <c r="Q62">
        <v>0</v>
      </c>
      <c r="R62">
        <v>79342</v>
      </c>
      <c r="S62">
        <v>2339985</v>
      </c>
      <c r="T62">
        <v>507518</v>
      </c>
      <c r="X62">
        <v>0</v>
      </c>
      <c r="Y62">
        <v>66110</v>
      </c>
      <c r="Z62">
        <v>13232</v>
      </c>
      <c r="AA62">
        <v>679087</v>
      </c>
      <c r="AB62">
        <v>1660898</v>
      </c>
      <c r="AD62" t="s">
        <v>591</v>
      </c>
    </row>
    <row r="63" spans="1:30">
      <c r="A63" s="1">
        <v>44503.708333333336</v>
      </c>
      <c r="B63" t="s">
        <v>12</v>
      </c>
      <c r="C63">
        <v>22</v>
      </c>
      <c r="D63" t="s">
        <v>143</v>
      </c>
      <c r="E63">
        <v>46.068935109999998</v>
      </c>
      <c r="F63">
        <v>11.121230969999999</v>
      </c>
      <c r="G63">
        <v>25</v>
      </c>
      <c r="H63">
        <v>2</v>
      </c>
      <c r="I63">
        <v>27</v>
      </c>
      <c r="J63">
        <v>518</v>
      </c>
      <c r="K63">
        <v>545</v>
      </c>
      <c r="L63">
        <v>33</v>
      </c>
      <c r="M63">
        <v>83</v>
      </c>
      <c r="N63">
        <v>47576</v>
      </c>
      <c r="O63">
        <v>1379</v>
      </c>
      <c r="P63">
        <v>0</v>
      </c>
      <c r="Q63">
        <v>0</v>
      </c>
      <c r="R63">
        <v>49500</v>
      </c>
      <c r="S63">
        <v>1308719</v>
      </c>
      <c r="T63">
        <v>408987</v>
      </c>
      <c r="X63">
        <v>1</v>
      </c>
      <c r="Y63">
        <v>34048</v>
      </c>
      <c r="Z63">
        <v>15452</v>
      </c>
      <c r="AA63">
        <v>731342</v>
      </c>
      <c r="AB63">
        <v>577377</v>
      </c>
      <c r="AD63" t="s">
        <v>588</v>
      </c>
    </row>
    <row r="64" spans="1:30">
      <c r="A64" s="1">
        <v>44503.708333333336</v>
      </c>
      <c r="B64" t="s">
        <v>12</v>
      </c>
      <c r="C64">
        <v>1</v>
      </c>
      <c r="D64" t="s">
        <v>146</v>
      </c>
      <c r="E64">
        <v>45.073274499999997</v>
      </c>
      <c r="F64">
        <v>7.6806874829999998</v>
      </c>
      <c r="G64">
        <v>215</v>
      </c>
      <c r="H64">
        <v>21</v>
      </c>
      <c r="I64">
        <v>236</v>
      </c>
      <c r="J64">
        <v>4140</v>
      </c>
      <c r="K64">
        <v>4376</v>
      </c>
      <c r="L64">
        <v>61</v>
      </c>
      <c r="M64">
        <v>318</v>
      </c>
      <c r="N64">
        <v>369374</v>
      </c>
      <c r="O64">
        <v>11816</v>
      </c>
      <c r="P64">
        <v>0</v>
      </c>
      <c r="Q64">
        <v>0</v>
      </c>
      <c r="R64">
        <v>385566</v>
      </c>
      <c r="S64">
        <v>8032716</v>
      </c>
      <c r="T64">
        <v>2612660</v>
      </c>
      <c r="X64">
        <v>1</v>
      </c>
      <c r="Y64">
        <v>361761</v>
      </c>
      <c r="Z64">
        <v>23805</v>
      </c>
      <c r="AA64">
        <v>3659688</v>
      </c>
      <c r="AB64">
        <v>4373028</v>
      </c>
      <c r="AD64" t="s">
        <v>588</v>
      </c>
    </row>
    <row r="65" spans="1:30">
      <c r="A65" s="1">
        <v>44503.708333333336</v>
      </c>
      <c r="B65" t="s">
        <v>12</v>
      </c>
      <c r="C65">
        <v>16</v>
      </c>
      <c r="D65" t="s">
        <v>163</v>
      </c>
      <c r="E65">
        <v>41.125595760000003</v>
      </c>
      <c r="F65">
        <v>16.86736689</v>
      </c>
      <c r="G65">
        <v>142</v>
      </c>
      <c r="H65">
        <v>16</v>
      </c>
      <c r="I65">
        <v>158</v>
      </c>
      <c r="J65">
        <v>2976</v>
      </c>
      <c r="K65">
        <v>3134</v>
      </c>
      <c r="L65">
        <v>15</v>
      </c>
      <c r="M65">
        <v>232</v>
      </c>
      <c r="N65">
        <v>263347</v>
      </c>
      <c r="O65">
        <v>6843</v>
      </c>
      <c r="P65">
        <v>0</v>
      </c>
      <c r="Q65">
        <v>0</v>
      </c>
      <c r="R65">
        <v>273324</v>
      </c>
      <c r="S65">
        <v>4240133</v>
      </c>
      <c r="T65">
        <v>1527281</v>
      </c>
      <c r="X65">
        <v>1</v>
      </c>
      <c r="Y65">
        <v>272025</v>
      </c>
      <c r="Z65">
        <v>1299</v>
      </c>
      <c r="AA65">
        <v>2925468</v>
      </c>
      <c r="AB65">
        <v>1314665</v>
      </c>
      <c r="AD65" t="s">
        <v>588</v>
      </c>
    </row>
    <row r="66" spans="1:30">
      <c r="A66" s="1">
        <v>44503.708333333336</v>
      </c>
      <c r="B66" t="s">
        <v>12</v>
      </c>
      <c r="C66">
        <v>20</v>
      </c>
      <c r="D66" t="s">
        <v>176</v>
      </c>
      <c r="E66">
        <v>39.215311919999998</v>
      </c>
      <c r="F66">
        <v>9.1106163060000007</v>
      </c>
      <c r="G66">
        <v>40</v>
      </c>
      <c r="H66">
        <v>7</v>
      </c>
      <c r="I66">
        <v>47</v>
      </c>
      <c r="J66">
        <v>1321</v>
      </c>
      <c r="K66">
        <v>1368</v>
      </c>
      <c r="L66">
        <v>21</v>
      </c>
      <c r="M66">
        <v>58</v>
      </c>
      <c r="N66">
        <v>73252</v>
      </c>
      <c r="O66">
        <v>1676</v>
      </c>
      <c r="P66">
        <v>0</v>
      </c>
      <c r="Q66">
        <v>0</v>
      </c>
      <c r="R66">
        <v>76296</v>
      </c>
      <c r="S66">
        <v>2106660</v>
      </c>
      <c r="T66">
        <v>1093140</v>
      </c>
      <c r="X66">
        <v>1</v>
      </c>
      <c r="Y66">
        <v>76192</v>
      </c>
      <c r="Z66">
        <v>104</v>
      </c>
      <c r="AA66">
        <v>1312654</v>
      </c>
      <c r="AB66">
        <v>794006</v>
      </c>
      <c r="AD66" t="s">
        <v>588</v>
      </c>
    </row>
    <row r="67" spans="1:30">
      <c r="A67" s="1">
        <v>44503.708333333336</v>
      </c>
      <c r="B67" t="s">
        <v>12</v>
      </c>
      <c r="C67">
        <v>19</v>
      </c>
      <c r="D67" t="s">
        <v>187</v>
      </c>
      <c r="E67">
        <v>38.115697249999997</v>
      </c>
      <c r="F67">
        <v>13.3623566999999</v>
      </c>
      <c r="G67">
        <v>305</v>
      </c>
      <c r="H67">
        <v>40</v>
      </c>
      <c r="I67">
        <v>345</v>
      </c>
      <c r="J67">
        <v>7056</v>
      </c>
      <c r="K67">
        <v>7401</v>
      </c>
      <c r="L67">
        <v>-210</v>
      </c>
      <c r="M67">
        <v>398</v>
      </c>
      <c r="N67">
        <v>294877</v>
      </c>
      <c r="O67">
        <v>7029</v>
      </c>
      <c r="P67">
        <v>0</v>
      </c>
      <c r="Q67">
        <v>0</v>
      </c>
      <c r="R67">
        <v>309307</v>
      </c>
      <c r="S67">
        <v>6767350</v>
      </c>
      <c r="T67">
        <v>2569924</v>
      </c>
      <c r="X67">
        <v>4</v>
      </c>
      <c r="Y67">
        <v>309307</v>
      </c>
      <c r="Z67">
        <v>0</v>
      </c>
      <c r="AA67">
        <v>3371136</v>
      </c>
      <c r="AB67">
        <v>3396214</v>
      </c>
      <c r="AD67" t="s">
        <v>592</v>
      </c>
    </row>
    <row r="68" spans="1:30">
      <c r="A68" s="1">
        <v>44503.708333333336</v>
      </c>
      <c r="B68" t="s">
        <v>12</v>
      </c>
      <c r="C68">
        <v>9</v>
      </c>
      <c r="D68" t="s">
        <v>206</v>
      </c>
      <c r="E68">
        <v>43.76923077</v>
      </c>
      <c r="F68">
        <v>11.25588885</v>
      </c>
      <c r="G68">
        <v>269</v>
      </c>
      <c r="H68">
        <v>28</v>
      </c>
      <c r="I68">
        <v>297</v>
      </c>
      <c r="J68">
        <v>5630</v>
      </c>
      <c r="K68">
        <v>5927</v>
      </c>
      <c r="L68">
        <v>25</v>
      </c>
      <c r="M68">
        <v>290</v>
      </c>
      <c r="N68">
        <v>277097</v>
      </c>
      <c r="O68">
        <v>7297</v>
      </c>
      <c r="P68">
        <v>0</v>
      </c>
      <c r="Q68">
        <v>0</v>
      </c>
      <c r="R68">
        <v>290321</v>
      </c>
      <c r="S68">
        <v>7192559</v>
      </c>
      <c r="T68">
        <v>3103562</v>
      </c>
      <c r="X68">
        <v>3</v>
      </c>
      <c r="Y68">
        <v>285343</v>
      </c>
      <c r="Z68">
        <v>4978</v>
      </c>
      <c r="AA68">
        <v>4805500</v>
      </c>
      <c r="AB68">
        <v>2387059</v>
      </c>
      <c r="AD68" t="s">
        <v>588</v>
      </c>
    </row>
    <row r="69" spans="1:30">
      <c r="A69" s="1">
        <v>44503.708333333336</v>
      </c>
      <c r="B69" t="s">
        <v>12</v>
      </c>
      <c r="C69">
        <v>10</v>
      </c>
      <c r="D69" t="s">
        <v>227</v>
      </c>
      <c r="E69">
        <v>43.106758409999998</v>
      </c>
      <c r="F69">
        <v>12.38824698</v>
      </c>
      <c r="G69">
        <v>40</v>
      </c>
      <c r="H69">
        <v>7</v>
      </c>
      <c r="I69">
        <v>47</v>
      </c>
      <c r="J69">
        <v>1165</v>
      </c>
      <c r="K69">
        <v>1212</v>
      </c>
      <c r="L69">
        <v>41</v>
      </c>
      <c r="M69">
        <v>83</v>
      </c>
      <c r="N69">
        <v>62672</v>
      </c>
      <c r="O69">
        <v>1465</v>
      </c>
      <c r="P69">
        <v>0</v>
      </c>
      <c r="Q69">
        <v>0</v>
      </c>
      <c r="R69">
        <v>65349</v>
      </c>
      <c r="S69">
        <v>2202776</v>
      </c>
      <c r="T69">
        <v>457740</v>
      </c>
      <c r="X69">
        <v>0</v>
      </c>
      <c r="Y69">
        <v>65349</v>
      </c>
      <c r="Z69">
        <v>0</v>
      </c>
      <c r="AA69">
        <v>1190277</v>
      </c>
      <c r="AB69">
        <v>1012499</v>
      </c>
      <c r="AD69" t="s">
        <v>588</v>
      </c>
    </row>
    <row r="70" spans="1:30">
      <c r="A70" s="1">
        <v>44503.708333333336</v>
      </c>
      <c r="B70" t="s">
        <v>12</v>
      </c>
      <c r="C70">
        <v>2</v>
      </c>
      <c r="D70" t="s">
        <v>232</v>
      </c>
      <c r="E70">
        <v>45.737502859999999</v>
      </c>
      <c r="F70">
        <v>7.3201493659999999</v>
      </c>
      <c r="G70">
        <v>4</v>
      </c>
      <c r="H70">
        <v>0</v>
      </c>
      <c r="I70">
        <v>4</v>
      </c>
      <c r="J70">
        <v>78</v>
      </c>
      <c r="K70">
        <v>82</v>
      </c>
      <c r="L70">
        <v>3</v>
      </c>
      <c r="M70">
        <v>5</v>
      </c>
      <c r="N70">
        <v>11764</v>
      </c>
      <c r="O70">
        <v>474</v>
      </c>
      <c r="P70">
        <v>0</v>
      </c>
      <c r="Q70">
        <v>0</v>
      </c>
      <c r="R70">
        <v>12320</v>
      </c>
      <c r="S70">
        <v>234044</v>
      </c>
      <c r="T70">
        <v>92875</v>
      </c>
      <c r="X70">
        <v>0</v>
      </c>
      <c r="Y70">
        <v>11453</v>
      </c>
      <c r="Z70">
        <v>867</v>
      </c>
      <c r="AA70">
        <v>112920</v>
      </c>
      <c r="AB70">
        <v>121124</v>
      </c>
      <c r="AD70" t="s">
        <v>588</v>
      </c>
    </row>
    <row r="71" spans="1:30">
      <c r="A71" s="1">
        <v>44503.708333333336</v>
      </c>
      <c r="B71" t="s">
        <v>12</v>
      </c>
      <c r="C71">
        <v>5</v>
      </c>
      <c r="D71" t="s">
        <v>235</v>
      </c>
      <c r="E71">
        <v>45.434904850000002</v>
      </c>
      <c r="F71">
        <v>12.33845213</v>
      </c>
      <c r="G71">
        <v>179</v>
      </c>
      <c r="H71">
        <v>35</v>
      </c>
      <c r="I71">
        <v>214</v>
      </c>
      <c r="J71">
        <v>10960</v>
      </c>
      <c r="K71">
        <v>11174</v>
      </c>
      <c r="L71">
        <v>171</v>
      </c>
      <c r="M71">
        <v>781</v>
      </c>
      <c r="N71">
        <v>458929</v>
      </c>
      <c r="O71">
        <v>11836</v>
      </c>
      <c r="P71">
        <v>0</v>
      </c>
      <c r="Q71">
        <v>0</v>
      </c>
      <c r="R71">
        <v>481939</v>
      </c>
      <c r="S71">
        <v>14078125</v>
      </c>
      <c r="T71">
        <v>2193442</v>
      </c>
      <c r="X71">
        <v>3</v>
      </c>
      <c r="Y71">
        <v>466526</v>
      </c>
      <c r="Z71">
        <v>15413</v>
      </c>
      <c r="AA71">
        <v>7126997</v>
      </c>
      <c r="AB71">
        <v>6951128</v>
      </c>
      <c r="AD71" t="s">
        <v>593</v>
      </c>
    </row>
    <row r="72" spans="1:30">
      <c r="A72" s="1"/>
    </row>
    <row r="73" spans="1:30">
      <c r="A73" s="1"/>
    </row>
    <row r="74" spans="1:30">
      <c r="A74" s="1" t="b">
        <f>A26=A51</f>
        <v>0</v>
      </c>
      <c r="B74" s="1" t="b">
        <f t="shared" ref="B74:AD74" si="9">B26=B51</f>
        <v>1</v>
      </c>
      <c r="C74" s="1" t="b">
        <f t="shared" si="9"/>
        <v>1</v>
      </c>
      <c r="D74" s="1" t="b">
        <f t="shared" si="9"/>
        <v>1</v>
      </c>
      <c r="E74" s="1" t="b">
        <f t="shared" si="9"/>
        <v>1</v>
      </c>
      <c r="F74" s="1" t="b">
        <f t="shared" si="9"/>
        <v>1</v>
      </c>
      <c r="G74" s="1" t="b">
        <f t="shared" si="9"/>
        <v>0</v>
      </c>
      <c r="H74" s="1" t="b">
        <f t="shared" si="9"/>
        <v>0</v>
      </c>
      <c r="I74" s="1" t="b">
        <f t="shared" si="9"/>
        <v>0</v>
      </c>
      <c r="J74" s="1" t="b">
        <f t="shared" si="9"/>
        <v>0</v>
      </c>
      <c r="K74" s="1" t="b">
        <f t="shared" si="9"/>
        <v>0</v>
      </c>
      <c r="L74" s="1" t="b">
        <f t="shared" si="9"/>
        <v>0</v>
      </c>
      <c r="M74" s="1" t="b">
        <f t="shared" si="9"/>
        <v>0</v>
      </c>
      <c r="N74" s="1" t="b">
        <f t="shared" si="9"/>
        <v>0</v>
      </c>
      <c r="O74" s="1" t="b">
        <f t="shared" si="9"/>
        <v>0</v>
      </c>
      <c r="P74" s="1" t="b">
        <f t="shared" si="9"/>
        <v>0</v>
      </c>
      <c r="Q74" s="1" t="b">
        <f t="shared" si="9"/>
        <v>0</v>
      </c>
      <c r="R74" s="1" t="b">
        <f t="shared" si="9"/>
        <v>0</v>
      </c>
      <c r="S74" s="1" t="b">
        <f t="shared" si="9"/>
        <v>0</v>
      </c>
      <c r="T74" s="1" t="b">
        <f t="shared" si="9"/>
        <v>0</v>
      </c>
      <c r="U74" s="1" t="b">
        <f t="shared" si="9"/>
        <v>1</v>
      </c>
      <c r="V74" s="1" t="b">
        <f t="shared" si="9"/>
        <v>1</v>
      </c>
      <c r="W74" s="1" t="b">
        <f t="shared" si="9"/>
        <v>1</v>
      </c>
      <c r="X74" s="1" t="b">
        <f t="shared" si="9"/>
        <v>1</v>
      </c>
      <c r="Y74" s="1" t="b">
        <f t="shared" si="9"/>
        <v>0</v>
      </c>
      <c r="Z74" s="1" t="b">
        <f t="shared" si="9"/>
        <v>0</v>
      </c>
      <c r="AA74" s="1" t="b">
        <f t="shared" si="9"/>
        <v>0</v>
      </c>
      <c r="AB74" s="1" t="b">
        <f t="shared" si="9"/>
        <v>0</v>
      </c>
      <c r="AC74" s="1" t="b">
        <f t="shared" si="9"/>
        <v>1</v>
      </c>
      <c r="AD74" s="1" t="b">
        <f t="shared" si="9"/>
        <v>1</v>
      </c>
    </row>
    <row r="75" spans="1:30">
      <c r="A75" s="1" t="b">
        <f t="shared" ref="A75:AD83" si="10">A27=A52</f>
        <v>0</v>
      </c>
      <c r="B75" s="1" t="b">
        <f t="shared" si="10"/>
        <v>1</v>
      </c>
      <c r="C75" s="1" t="b">
        <f t="shared" si="10"/>
        <v>1</v>
      </c>
      <c r="D75" s="1" t="b">
        <f t="shared" si="10"/>
        <v>1</v>
      </c>
      <c r="E75" s="1" t="b">
        <f t="shared" si="10"/>
        <v>1</v>
      </c>
      <c r="F75" s="1" t="b">
        <f t="shared" si="10"/>
        <v>1</v>
      </c>
      <c r="G75" s="1" t="b">
        <f t="shared" si="10"/>
        <v>0</v>
      </c>
      <c r="H75" s="1" t="b">
        <f t="shared" si="10"/>
        <v>1</v>
      </c>
      <c r="I75" s="1" t="b">
        <f t="shared" si="10"/>
        <v>0</v>
      </c>
      <c r="J75" s="1" t="b">
        <f t="shared" si="10"/>
        <v>0</v>
      </c>
      <c r="K75" s="1" t="b">
        <f t="shared" si="10"/>
        <v>0</v>
      </c>
      <c r="L75" s="1" t="b">
        <f t="shared" si="10"/>
        <v>0</v>
      </c>
      <c r="M75" s="1" t="b">
        <f t="shared" si="10"/>
        <v>0</v>
      </c>
      <c r="N75" s="1" t="b">
        <f t="shared" si="10"/>
        <v>0</v>
      </c>
      <c r="O75" s="1" t="b">
        <f t="shared" si="10"/>
        <v>0</v>
      </c>
      <c r="P75" s="1" t="b">
        <f t="shared" si="10"/>
        <v>0</v>
      </c>
      <c r="Q75" s="1" t="b">
        <f t="shared" si="10"/>
        <v>0</v>
      </c>
      <c r="R75" s="1" t="b">
        <f t="shared" si="10"/>
        <v>0</v>
      </c>
      <c r="S75" s="1" t="b">
        <f t="shared" si="10"/>
        <v>0</v>
      </c>
      <c r="T75" s="1" t="b">
        <f t="shared" si="10"/>
        <v>0</v>
      </c>
      <c r="U75" s="1" t="b">
        <f t="shared" si="10"/>
        <v>1</v>
      </c>
      <c r="V75" s="1" t="b">
        <f t="shared" si="10"/>
        <v>1</v>
      </c>
      <c r="W75" s="1" t="b">
        <f t="shared" si="10"/>
        <v>1</v>
      </c>
      <c r="X75" s="1" t="b">
        <f t="shared" si="10"/>
        <v>1</v>
      </c>
      <c r="Y75" s="1" t="b">
        <f t="shared" si="10"/>
        <v>0</v>
      </c>
      <c r="Z75" s="1" t="b">
        <f t="shared" si="10"/>
        <v>0</v>
      </c>
      <c r="AA75" s="1" t="b">
        <f t="shared" si="10"/>
        <v>0</v>
      </c>
      <c r="AB75" s="1" t="b">
        <f t="shared" si="10"/>
        <v>0</v>
      </c>
      <c r="AC75" s="1" t="b">
        <f t="shared" si="10"/>
        <v>1</v>
      </c>
      <c r="AD75" s="1" t="b">
        <f t="shared" si="10"/>
        <v>0</v>
      </c>
    </row>
    <row r="76" spans="1:30">
      <c r="A76" s="1" t="b">
        <f t="shared" si="10"/>
        <v>0</v>
      </c>
      <c r="B76" s="1" t="b">
        <f t="shared" si="10"/>
        <v>1</v>
      </c>
      <c r="C76" s="1" t="b">
        <f t="shared" si="10"/>
        <v>1</v>
      </c>
      <c r="D76" s="1" t="b">
        <f t="shared" si="10"/>
        <v>1</v>
      </c>
      <c r="E76" s="1" t="b">
        <f t="shared" si="10"/>
        <v>1</v>
      </c>
      <c r="F76" s="1" t="b">
        <f t="shared" si="10"/>
        <v>1</v>
      </c>
      <c r="G76" s="1" t="b">
        <f t="shared" si="10"/>
        <v>0</v>
      </c>
      <c r="H76" s="1" t="b">
        <f t="shared" si="10"/>
        <v>0</v>
      </c>
      <c r="I76" s="1" t="b">
        <f t="shared" si="10"/>
        <v>0</v>
      </c>
      <c r="J76" s="1" t="b">
        <f t="shared" si="10"/>
        <v>0</v>
      </c>
      <c r="K76" s="1" t="b">
        <f t="shared" si="10"/>
        <v>0</v>
      </c>
      <c r="L76" s="1" t="b">
        <f t="shared" si="10"/>
        <v>0</v>
      </c>
      <c r="M76" s="1" t="b">
        <f t="shared" si="10"/>
        <v>0</v>
      </c>
      <c r="N76" s="1" t="b">
        <f t="shared" si="10"/>
        <v>0</v>
      </c>
      <c r="O76" s="1" t="b">
        <f t="shared" si="10"/>
        <v>0</v>
      </c>
      <c r="P76" s="1" t="b">
        <f t="shared" si="10"/>
        <v>0</v>
      </c>
      <c r="Q76" s="1" t="b">
        <f t="shared" si="10"/>
        <v>0</v>
      </c>
      <c r="R76" s="1" t="b">
        <f t="shared" si="10"/>
        <v>0</v>
      </c>
      <c r="S76" s="1" t="b">
        <f t="shared" si="10"/>
        <v>0</v>
      </c>
      <c r="T76" s="1" t="b">
        <f t="shared" si="10"/>
        <v>0</v>
      </c>
      <c r="U76" s="1" t="b">
        <f t="shared" si="10"/>
        <v>1</v>
      </c>
      <c r="V76" s="1" t="b">
        <f t="shared" si="10"/>
        <v>1</v>
      </c>
      <c r="W76" s="1" t="b">
        <f t="shared" si="10"/>
        <v>1</v>
      </c>
      <c r="X76" s="1" t="b">
        <f t="shared" si="10"/>
        <v>0</v>
      </c>
      <c r="Y76" s="1" t="b">
        <f t="shared" si="10"/>
        <v>0</v>
      </c>
      <c r="Z76" s="1" t="b">
        <f t="shared" si="10"/>
        <v>0</v>
      </c>
      <c r="AA76" s="1" t="b">
        <f t="shared" si="10"/>
        <v>0</v>
      </c>
      <c r="AB76" s="1" t="b">
        <f t="shared" si="10"/>
        <v>0</v>
      </c>
      <c r="AC76" s="1" t="b">
        <f t="shared" si="10"/>
        <v>1</v>
      </c>
      <c r="AD76" s="1" t="b">
        <f t="shared" si="10"/>
        <v>1</v>
      </c>
    </row>
    <row r="77" spans="1:30">
      <c r="A77" s="1" t="b">
        <f t="shared" si="10"/>
        <v>0</v>
      </c>
      <c r="B77" s="1" t="b">
        <f t="shared" si="10"/>
        <v>1</v>
      </c>
      <c r="C77" s="1" t="b">
        <f t="shared" si="10"/>
        <v>1</v>
      </c>
      <c r="D77" s="1" t="b">
        <f t="shared" si="10"/>
        <v>1</v>
      </c>
      <c r="E77" s="1" t="b">
        <f t="shared" si="10"/>
        <v>1</v>
      </c>
      <c r="F77" s="1" t="b">
        <f t="shared" si="10"/>
        <v>1</v>
      </c>
      <c r="G77" s="1" t="b">
        <f t="shared" si="10"/>
        <v>0</v>
      </c>
      <c r="H77" s="1" t="b">
        <f t="shared" si="10"/>
        <v>0</v>
      </c>
      <c r="I77" s="1" t="b">
        <f t="shared" si="10"/>
        <v>0</v>
      </c>
      <c r="J77" s="1" t="b">
        <f t="shared" si="10"/>
        <v>0</v>
      </c>
      <c r="K77" s="1" t="b">
        <f t="shared" si="10"/>
        <v>0</v>
      </c>
      <c r="L77" s="1" t="b">
        <f t="shared" si="10"/>
        <v>0</v>
      </c>
      <c r="M77" s="1" t="b">
        <f t="shared" si="10"/>
        <v>0</v>
      </c>
      <c r="N77" s="1" t="b">
        <f t="shared" si="10"/>
        <v>0</v>
      </c>
      <c r="O77" s="1" t="b">
        <f t="shared" si="10"/>
        <v>0</v>
      </c>
      <c r="P77" s="1" t="b">
        <f t="shared" si="10"/>
        <v>0</v>
      </c>
      <c r="Q77" s="1" t="b">
        <f t="shared" si="10"/>
        <v>0</v>
      </c>
      <c r="R77" s="1" t="b">
        <f t="shared" si="10"/>
        <v>0</v>
      </c>
      <c r="S77" s="1" t="b">
        <f t="shared" si="10"/>
        <v>0</v>
      </c>
      <c r="T77" s="1" t="b">
        <f t="shared" si="10"/>
        <v>0</v>
      </c>
      <c r="U77" s="1" t="b">
        <f t="shared" si="10"/>
        <v>1</v>
      </c>
      <c r="V77" s="1" t="b">
        <f t="shared" si="10"/>
        <v>1</v>
      </c>
      <c r="W77" s="1" t="b">
        <f t="shared" si="10"/>
        <v>1</v>
      </c>
      <c r="X77" s="1" t="b">
        <f t="shared" si="10"/>
        <v>1</v>
      </c>
      <c r="Y77" s="1" t="b">
        <f t="shared" si="10"/>
        <v>0</v>
      </c>
      <c r="Z77" s="1" t="b">
        <f t="shared" si="10"/>
        <v>0</v>
      </c>
      <c r="AA77" s="1" t="b">
        <f t="shared" si="10"/>
        <v>0</v>
      </c>
      <c r="AB77" s="1" t="b">
        <f t="shared" si="10"/>
        <v>0</v>
      </c>
      <c r="AC77" s="1" t="b">
        <f t="shared" si="10"/>
        <v>1</v>
      </c>
      <c r="AD77" s="1" t="b">
        <f t="shared" si="10"/>
        <v>1</v>
      </c>
    </row>
    <row r="78" spans="1:30">
      <c r="A78" s="1" t="b">
        <f t="shared" si="10"/>
        <v>0</v>
      </c>
      <c r="B78" s="1" t="b">
        <f t="shared" si="10"/>
        <v>1</v>
      </c>
      <c r="C78" s="1" t="b">
        <f t="shared" si="10"/>
        <v>1</v>
      </c>
      <c r="D78" s="1" t="b">
        <f t="shared" si="10"/>
        <v>1</v>
      </c>
      <c r="E78" s="1" t="b">
        <f t="shared" si="10"/>
        <v>1</v>
      </c>
      <c r="F78" s="1" t="b">
        <f t="shared" si="10"/>
        <v>1</v>
      </c>
      <c r="G78" s="1" t="b">
        <f t="shared" si="10"/>
        <v>0</v>
      </c>
      <c r="H78" s="1" t="b">
        <f t="shared" si="10"/>
        <v>0</v>
      </c>
      <c r="I78" s="1" t="b">
        <f t="shared" si="10"/>
        <v>0</v>
      </c>
      <c r="J78" s="1" t="b">
        <f t="shared" si="10"/>
        <v>0</v>
      </c>
      <c r="K78" s="1" t="b">
        <f t="shared" si="10"/>
        <v>0</v>
      </c>
      <c r="L78" s="1" t="b">
        <f t="shared" si="10"/>
        <v>0</v>
      </c>
      <c r="M78" s="1" t="b">
        <f t="shared" si="10"/>
        <v>0</v>
      </c>
      <c r="N78" s="1" t="b">
        <f t="shared" si="10"/>
        <v>0</v>
      </c>
      <c r="O78" s="1" t="b">
        <f t="shared" si="10"/>
        <v>0</v>
      </c>
      <c r="P78" s="1" t="b">
        <f t="shared" si="10"/>
        <v>0</v>
      </c>
      <c r="Q78" s="1" t="b">
        <f t="shared" si="10"/>
        <v>0</v>
      </c>
      <c r="R78" s="1" t="b">
        <f t="shared" si="10"/>
        <v>0</v>
      </c>
      <c r="S78" s="1" t="b">
        <f t="shared" si="10"/>
        <v>0</v>
      </c>
      <c r="T78" s="1" t="b">
        <f t="shared" si="10"/>
        <v>0</v>
      </c>
      <c r="U78" s="1" t="b">
        <f t="shared" si="10"/>
        <v>1</v>
      </c>
      <c r="V78" s="1" t="b">
        <f t="shared" si="10"/>
        <v>1</v>
      </c>
      <c r="W78" s="1" t="b">
        <f t="shared" si="10"/>
        <v>1</v>
      </c>
      <c r="X78" s="1" t="b">
        <f t="shared" si="10"/>
        <v>0</v>
      </c>
      <c r="Y78" s="1" t="b">
        <f t="shared" si="10"/>
        <v>0</v>
      </c>
      <c r="Z78" s="1" t="b">
        <f t="shared" si="10"/>
        <v>0</v>
      </c>
      <c r="AA78" s="1" t="b">
        <f t="shared" si="10"/>
        <v>0</v>
      </c>
      <c r="AB78" s="1" t="b">
        <f t="shared" si="10"/>
        <v>0</v>
      </c>
      <c r="AC78" s="1" t="b">
        <f t="shared" si="10"/>
        <v>1</v>
      </c>
      <c r="AD78" s="1" t="b">
        <f t="shared" si="10"/>
        <v>1</v>
      </c>
    </row>
    <row r="79" spans="1:30">
      <c r="A79" s="1" t="b">
        <f t="shared" si="10"/>
        <v>0</v>
      </c>
      <c r="B79" s="1" t="b">
        <f t="shared" si="10"/>
        <v>1</v>
      </c>
      <c r="C79" s="1" t="b">
        <f t="shared" si="10"/>
        <v>1</v>
      </c>
      <c r="D79" s="1" t="b">
        <f t="shared" si="10"/>
        <v>1</v>
      </c>
      <c r="E79" s="1" t="b">
        <f t="shared" si="10"/>
        <v>1</v>
      </c>
      <c r="F79" s="1" t="b">
        <f t="shared" si="10"/>
        <v>1</v>
      </c>
      <c r="G79" s="1" t="b">
        <f t="shared" si="10"/>
        <v>0</v>
      </c>
      <c r="H79" s="1" t="b">
        <f t="shared" si="10"/>
        <v>0</v>
      </c>
      <c r="I79" s="1" t="b">
        <f t="shared" si="10"/>
        <v>0</v>
      </c>
      <c r="J79" s="1" t="b">
        <f t="shared" si="10"/>
        <v>0</v>
      </c>
      <c r="K79" s="1" t="b">
        <f t="shared" si="10"/>
        <v>0</v>
      </c>
      <c r="L79" s="1" t="b">
        <f t="shared" si="10"/>
        <v>0</v>
      </c>
      <c r="M79" s="1" t="b">
        <f t="shared" si="10"/>
        <v>0</v>
      </c>
      <c r="N79" s="1" t="b">
        <f t="shared" si="10"/>
        <v>0</v>
      </c>
      <c r="O79" s="1" t="b">
        <f t="shared" si="10"/>
        <v>0</v>
      </c>
      <c r="P79" s="1" t="b">
        <f t="shared" si="10"/>
        <v>0</v>
      </c>
      <c r="Q79" s="1" t="b">
        <f t="shared" si="10"/>
        <v>0</v>
      </c>
      <c r="R79" s="1" t="b">
        <f t="shared" si="10"/>
        <v>0</v>
      </c>
      <c r="S79" s="1" t="b">
        <f t="shared" si="10"/>
        <v>0</v>
      </c>
      <c r="T79" s="1" t="b">
        <f t="shared" si="10"/>
        <v>0</v>
      </c>
      <c r="U79" s="1" t="b">
        <f t="shared" si="10"/>
        <v>1</v>
      </c>
      <c r="V79" s="1" t="b">
        <f t="shared" si="10"/>
        <v>1</v>
      </c>
      <c r="W79" s="1" t="b">
        <f t="shared" si="10"/>
        <v>1</v>
      </c>
      <c r="X79" s="1" t="b">
        <f t="shared" si="10"/>
        <v>0</v>
      </c>
      <c r="Y79" s="1" t="b">
        <f t="shared" si="10"/>
        <v>0</v>
      </c>
      <c r="Z79" s="1" t="b">
        <f t="shared" si="10"/>
        <v>0</v>
      </c>
      <c r="AA79" s="1" t="b">
        <f t="shared" si="10"/>
        <v>0</v>
      </c>
      <c r="AB79" s="1" t="b">
        <f t="shared" si="10"/>
        <v>0</v>
      </c>
      <c r="AC79" s="1" t="b">
        <f t="shared" si="10"/>
        <v>1</v>
      </c>
      <c r="AD79" s="1" t="b">
        <f t="shared" si="10"/>
        <v>0</v>
      </c>
    </row>
    <row r="80" spans="1:30">
      <c r="A80" s="1" t="b">
        <f t="shared" si="10"/>
        <v>0</v>
      </c>
      <c r="B80" s="1" t="b">
        <f t="shared" si="10"/>
        <v>1</v>
      </c>
      <c r="C80" s="1" t="b">
        <f t="shared" si="10"/>
        <v>1</v>
      </c>
      <c r="D80" s="1" t="b">
        <f t="shared" si="10"/>
        <v>1</v>
      </c>
      <c r="E80" s="1" t="b">
        <f t="shared" si="10"/>
        <v>1</v>
      </c>
      <c r="F80" s="1" t="b">
        <f t="shared" si="10"/>
        <v>1</v>
      </c>
      <c r="G80" s="1" t="b">
        <f t="shared" si="10"/>
        <v>0</v>
      </c>
      <c r="H80" s="1" t="b">
        <f t="shared" si="10"/>
        <v>0</v>
      </c>
      <c r="I80" s="1" t="b">
        <f t="shared" si="10"/>
        <v>0</v>
      </c>
      <c r="J80" s="1" t="b">
        <f t="shared" si="10"/>
        <v>0</v>
      </c>
      <c r="K80" s="1" t="b">
        <f t="shared" si="10"/>
        <v>0</v>
      </c>
      <c r="L80" s="1" t="b">
        <f t="shared" si="10"/>
        <v>0</v>
      </c>
      <c r="M80" s="1" t="b">
        <f t="shared" si="10"/>
        <v>0</v>
      </c>
      <c r="N80" s="1" t="b">
        <f t="shared" si="10"/>
        <v>0</v>
      </c>
      <c r="O80" s="1" t="b">
        <f t="shared" si="10"/>
        <v>0</v>
      </c>
      <c r="P80" s="1" t="b">
        <f t="shared" si="10"/>
        <v>0</v>
      </c>
      <c r="Q80" s="1" t="b">
        <f t="shared" si="10"/>
        <v>0</v>
      </c>
      <c r="R80" s="1" t="b">
        <f t="shared" si="10"/>
        <v>0</v>
      </c>
      <c r="S80" s="1" t="b">
        <f t="shared" si="10"/>
        <v>0</v>
      </c>
      <c r="T80" s="1" t="b">
        <f t="shared" si="10"/>
        <v>0</v>
      </c>
      <c r="U80" s="1" t="b">
        <f t="shared" si="10"/>
        <v>1</v>
      </c>
      <c r="V80" s="1" t="b">
        <f t="shared" si="10"/>
        <v>1</v>
      </c>
      <c r="W80" s="1" t="b">
        <f t="shared" si="10"/>
        <v>1</v>
      </c>
      <c r="X80" s="1" t="b">
        <f t="shared" si="10"/>
        <v>0</v>
      </c>
      <c r="Y80" s="1" t="b">
        <f t="shared" si="10"/>
        <v>0</v>
      </c>
      <c r="Z80" s="1" t="b">
        <f t="shared" si="10"/>
        <v>0</v>
      </c>
      <c r="AA80" s="1" t="b">
        <f t="shared" si="10"/>
        <v>0</v>
      </c>
      <c r="AB80" s="1" t="b">
        <f t="shared" si="10"/>
        <v>0</v>
      </c>
      <c r="AC80" s="1" t="b">
        <f t="shared" si="10"/>
        <v>1</v>
      </c>
      <c r="AD80" s="1" t="b">
        <f t="shared" si="10"/>
        <v>1</v>
      </c>
    </row>
    <row r="81" spans="1:30">
      <c r="A81" s="1" t="b">
        <f t="shared" si="10"/>
        <v>0</v>
      </c>
      <c r="B81" s="1" t="b">
        <f t="shared" si="10"/>
        <v>1</v>
      </c>
      <c r="C81" s="1" t="b">
        <f t="shared" si="10"/>
        <v>1</v>
      </c>
      <c r="D81" s="1" t="b">
        <f t="shared" si="10"/>
        <v>1</v>
      </c>
      <c r="E81" s="1" t="b">
        <f t="shared" si="10"/>
        <v>1</v>
      </c>
      <c r="F81" s="1" t="b">
        <f t="shared" si="10"/>
        <v>1</v>
      </c>
      <c r="G81" s="1" t="b">
        <f t="shared" si="10"/>
        <v>0</v>
      </c>
      <c r="H81" s="1" t="b">
        <f t="shared" si="10"/>
        <v>0</v>
      </c>
      <c r="I81" s="1" t="b">
        <f t="shared" si="10"/>
        <v>0</v>
      </c>
      <c r="J81" s="1" t="b">
        <f t="shared" si="10"/>
        <v>0</v>
      </c>
      <c r="K81" s="1" t="b">
        <f t="shared" si="10"/>
        <v>0</v>
      </c>
      <c r="L81" s="1" t="b">
        <f t="shared" si="10"/>
        <v>0</v>
      </c>
      <c r="M81" s="1" t="b">
        <f t="shared" si="10"/>
        <v>0</v>
      </c>
      <c r="N81" s="1" t="b">
        <f t="shared" si="10"/>
        <v>0</v>
      </c>
      <c r="O81" s="1" t="b">
        <f t="shared" si="10"/>
        <v>0</v>
      </c>
      <c r="P81" s="1" t="b">
        <f t="shared" si="10"/>
        <v>0</v>
      </c>
      <c r="Q81" s="1" t="b">
        <f t="shared" si="10"/>
        <v>0</v>
      </c>
      <c r="R81" s="1" t="b">
        <f t="shared" si="10"/>
        <v>0</v>
      </c>
      <c r="S81" s="1" t="b">
        <f t="shared" si="10"/>
        <v>0</v>
      </c>
      <c r="T81" s="1" t="b">
        <f t="shared" si="10"/>
        <v>0</v>
      </c>
      <c r="U81" s="1" t="b">
        <f t="shared" si="10"/>
        <v>1</v>
      </c>
      <c r="V81" s="1" t="b">
        <f t="shared" si="10"/>
        <v>1</v>
      </c>
      <c r="W81" s="1" t="b">
        <f t="shared" si="10"/>
        <v>1</v>
      </c>
      <c r="X81" s="1" t="b">
        <f t="shared" si="10"/>
        <v>0</v>
      </c>
      <c r="Y81" s="1" t="b">
        <f t="shared" si="10"/>
        <v>0</v>
      </c>
      <c r="Z81" s="1" t="b">
        <f t="shared" si="10"/>
        <v>0</v>
      </c>
      <c r="AA81" s="1" t="b">
        <f t="shared" si="10"/>
        <v>0</v>
      </c>
      <c r="AB81" s="1" t="b">
        <f t="shared" si="10"/>
        <v>0</v>
      </c>
      <c r="AC81" s="1" t="b">
        <f t="shared" si="10"/>
        <v>1</v>
      </c>
      <c r="AD81" s="1" t="b">
        <f t="shared" si="10"/>
        <v>0</v>
      </c>
    </row>
    <row r="82" spans="1:30">
      <c r="A82" s="1" t="b">
        <f t="shared" si="10"/>
        <v>0</v>
      </c>
      <c r="B82" s="1" t="b">
        <f t="shared" si="10"/>
        <v>1</v>
      </c>
      <c r="C82" s="1" t="b">
        <f t="shared" si="10"/>
        <v>1</v>
      </c>
      <c r="D82" s="1" t="b">
        <f t="shared" si="10"/>
        <v>1</v>
      </c>
      <c r="E82" s="1" t="b">
        <f t="shared" si="10"/>
        <v>1</v>
      </c>
      <c r="F82" s="1" t="b">
        <f t="shared" si="10"/>
        <v>1</v>
      </c>
      <c r="G82" s="1" t="b">
        <f t="shared" si="10"/>
        <v>0</v>
      </c>
      <c r="H82" s="1" t="b">
        <f t="shared" si="10"/>
        <v>0</v>
      </c>
      <c r="I82" s="1" t="b">
        <f t="shared" si="10"/>
        <v>0</v>
      </c>
      <c r="J82" s="1" t="b">
        <f t="shared" si="10"/>
        <v>0</v>
      </c>
      <c r="K82" s="1" t="b">
        <f t="shared" si="10"/>
        <v>0</v>
      </c>
      <c r="L82" s="1" t="b">
        <f t="shared" si="10"/>
        <v>0</v>
      </c>
      <c r="M82" s="1" t="b">
        <f t="shared" si="10"/>
        <v>0</v>
      </c>
      <c r="N82" s="1" t="b">
        <f t="shared" si="10"/>
        <v>0</v>
      </c>
      <c r="O82" s="1" t="b">
        <f t="shared" si="10"/>
        <v>0</v>
      </c>
      <c r="P82" s="1" t="b">
        <f t="shared" si="10"/>
        <v>0</v>
      </c>
      <c r="Q82" s="1" t="b">
        <f t="shared" si="10"/>
        <v>0</v>
      </c>
      <c r="R82" s="1" t="b">
        <f t="shared" si="10"/>
        <v>0</v>
      </c>
      <c r="S82" s="1" t="b">
        <f t="shared" si="10"/>
        <v>0</v>
      </c>
      <c r="T82" s="1" t="b">
        <f t="shared" si="10"/>
        <v>0</v>
      </c>
      <c r="U82" s="1" t="b">
        <f t="shared" si="10"/>
        <v>1</v>
      </c>
      <c r="V82" s="1" t="b">
        <f t="shared" si="10"/>
        <v>1</v>
      </c>
      <c r="W82" s="1" t="b">
        <f t="shared" si="10"/>
        <v>1</v>
      </c>
      <c r="X82" s="1" t="b">
        <f t="shared" si="10"/>
        <v>0</v>
      </c>
      <c r="Y82" s="1" t="b">
        <f t="shared" si="10"/>
        <v>0</v>
      </c>
      <c r="Z82" s="1" t="b">
        <f t="shared" si="10"/>
        <v>0</v>
      </c>
      <c r="AA82" s="1" t="b">
        <f t="shared" si="10"/>
        <v>0</v>
      </c>
      <c r="AB82" s="1" t="b">
        <f t="shared" si="10"/>
        <v>0</v>
      </c>
      <c r="AC82" s="1" t="b">
        <f t="shared" si="10"/>
        <v>1</v>
      </c>
      <c r="AD82" s="1" t="b">
        <f t="shared" si="10"/>
        <v>1</v>
      </c>
    </row>
    <row r="83" spans="1:30">
      <c r="A83" s="1" t="b">
        <f t="shared" si="10"/>
        <v>0</v>
      </c>
      <c r="B83" s="1" t="b">
        <f t="shared" si="10"/>
        <v>1</v>
      </c>
      <c r="C83" s="1" t="b">
        <f t="shared" si="10"/>
        <v>1</v>
      </c>
      <c r="D83" s="1" t="b">
        <f t="shared" si="10"/>
        <v>1</v>
      </c>
      <c r="E83" s="1" t="b">
        <f t="shared" si="10"/>
        <v>1</v>
      </c>
      <c r="F83" s="1" t="b">
        <f t="shared" si="10"/>
        <v>1</v>
      </c>
      <c r="G83" s="1" t="b">
        <f t="shared" si="10"/>
        <v>0</v>
      </c>
      <c r="H83" s="1" t="b">
        <f t="shared" si="10"/>
        <v>0</v>
      </c>
      <c r="I83" s="1" t="b">
        <f t="shared" si="10"/>
        <v>0</v>
      </c>
      <c r="J83" s="1" t="b">
        <f t="shared" si="10"/>
        <v>0</v>
      </c>
      <c r="K83" s="1" t="b">
        <f t="shared" si="10"/>
        <v>0</v>
      </c>
      <c r="L83" s="1" t="b">
        <f t="shared" si="10"/>
        <v>0</v>
      </c>
      <c r="M83" s="1" t="b">
        <f t="shared" si="10"/>
        <v>0</v>
      </c>
      <c r="N83" s="1" t="b">
        <f t="shared" si="10"/>
        <v>0</v>
      </c>
      <c r="O83" s="1" t="b">
        <f t="shared" si="10"/>
        <v>0</v>
      </c>
      <c r="P83" s="1" t="b">
        <f t="shared" ref="P83:AD83" si="11">P35=P60</f>
        <v>0</v>
      </c>
      <c r="Q83" s="1" t="b">
        <f t="shared" si="11"/>
        <v>0</v>
      </c>
      <c r="R83" s="1" t="b">
        <f t="shared" si="11"/>
        <v>0</v>
      </c>
      <c r="S83" s="1" t="b">
        <f t="shared" si="11"/>
        <v>0</v>
      </c>
      <c r="T83" s="1" t="b">
        <f t="shared" si="11"/>
        <v>0</v>
      </c>
      <c r="U83" s="1" t="b">
        <f t="shared" si="11"/>
        <v>1</v>
      </c>
      <c r="V83" s="1" t="b">
        <f t="shared" si="11"/>
        <v>1</v>
      </c>
      <c r="W83" s="1" t="b">
        <f t="shared" si="11"/>
        <v>1</v>
      </c>
      <c r="X83" s="1" t="b">
        <f t="shared" si="11"/>
        <v>1</v>
      </c>
      <c r="Y83" s="1" t="b">
        <f t="shared" si="11"/>
        <v>0</v>
      </c>
      <c r="Z83" s="1" t="b">
        <f t="shared" si="11"/>
        <v>0</v>
      </c>
      <c r="AA83" s="1" t="b">
        <f t="shared" si="11"/>
        <v>0</v>
      </c>
      <c r="AB83" s="1" t="b">
        <f t="shared" si="11"/>
        <v>0</v>
      </c>
      <c r="AC83" s="1" t="b">
        <f t="shared" si="11"/>
        <v>1</v>
      </c>
      <c r="AD83" s="1" t="b">
        <f t="shared" si="11"/>
        <v>1</v>
      </c>
    </row>
    <row r="84" spans="1:30">
      <c r="A84" s="1" t="b">
        <f t="shared" ref="A84:AD92" si="12">A36=A61</f>
        <v>0</v>
      </c>
      <c r="B84" s="1" t="b">
        <f t="shared" si="12"/>
        <v>1</v>
      </c>
      <c r="C84" s="1" t="b">
        <f t="shared" si="12"/>
        <v>1</v>
      </c>
      <c r="D84" s="1" t="b">
        <f t="shared" si="12"/>
        <v>1</v>
      </c>
      <c r="E84" s="1" t="b">
        <f t="shared" si="12"/>
        <v>1</v>
      </c>
      <c r="F84" s="1" t="b">
        <f t="shared" si="12"/>
        <v>1</v>
      </c>
      <c r="G84" s="1" t="b">
        <f t="shared" si="12"/>
        <v>0</v>
      </c>
      <c r="H84" s="1" t="b">
        <f t="shared" si="12"/>
        <v>0</v>
      </c>
      <c r="I84" s="1" t="b">
        <f t="shared" si="12"/>
        <v>1</v>
      </c>
      <c r="J84" s="1" t="b">
        <f t="shared" si="12"/>
        <v>0</v>
      </c>
      <c r="K84" s="1" t="b">
        <f t="shared" si="12"/>
        <v>0</v>
      </c>
      <c r="L84" s="1" t="b">
        <f t="shared" si="12"/>
        <v>0</v>
      </c>
      <c r="M84" s="1" t="b">
        <f t="shared" si="12"/>
        <v>0</v>
      </c>
      <c r="N84" s="1" t="b">
        <f t="shared" si="12"/>
        <v>0</v>
      </c>
      <c r="O84" s="1" t="b">
        <f t="shared" si="12"/>
        <v>0</v>
      </c>
      <c r="P84" s="1" t="b">
        <f t="shared" si="12"/>
        <v>0</v>
      </c>
      <c r="Q84" s="1" t="b">
        <f t="shared" si="12"/>
        <v>0</v>
      </c>
      <c r="R84" s="1" t="b">
        <f t="shared" si="12"/>
        <v>0</v>
      </c>
      <c r="S84" s="1" t="b">
        <f t="shared" si="12"/>
        <v>0</v>
      </c>
      <c r="T84" s="1" t="b">
        <f t="shared" si="12"/>
        <v>0</v>
      </c>
      <c r="U84" s="1" t="b">
        <f t="shared" si="12"/>
        <v>1</v>
      </c>
      <c r="V84" s="1" t="b">
        <f t="shared" si="12"/>
        <v>1</v>
      </c>
      <c r="W84" s="1" t="b">
        <f t="shared" si="12"/>
        <v>1</v>
      </c>
      <c r="X84" s="1" t="b">
        <f t="shared" si="12"/>
        <v>1</v>
      </c>
      <c r="Y84" s="1" t="b">
        <f t="shared" si="12"/>
        <v>0</v>
      </c>
      <c r="Z84" s="1" t="b">
        <f t="shared" si="12"/>
        <v>0</v>
      </c>
      <c r="AA84" s="1" t="b">
        <f t="shared" si="12"/>
        <v>0</v>
      </c>
      <c r="AB84" s="1" t="b">
        <f t="shared" si="12"/>
        <v>0</v>
      </c>
      <c r="AC84" s="1" t="b">
        <f t="shared" si="12"/>
        <v>1</v>
      </c>
      <c r="AD84" s="1" t="b">
        <f t="shared" si="12"/>
        <v>1</v>
      </c>
    </row>
    <row r="85" spans="1:30">
      <c r="A85" s="1" t="b">
        <f t="shared" si="12"/>
        <v>0</v>
      </c>
      <c r="B85" s="1" t="b">
        <f t="shared" si="12"/>
        <v>1</v>
      </c>
      <c r="C85" s="1" t="b">
        <f t="shared" si="12"/>
        <v>1</v>
      </c>
      <c r="D85" s="1" t="b">
        <f t="shared" si="12"/>
        <v>1</v>
      </c>
      <c r="E85" s="1" t="b">
        <f t="shared" si="12"/>
        <v>1</v>
      </c>
      <c r="F85" s="1" t="b">
        <f t="shared" si="12"/>
        <v>1</v>
      </c>
      <c r="G85" s="1" t="b">
        <f t="shared" si="12"/>
        <v>0</v>
      </c>
      <c r="H85" s="1" t="b">
        <f t="shared" si="12"/>
        <v>0</v>
      </c>
      <c r="I85" s="1" t="b">
        <f t="shared" si="12"/>
        <v>0</v>
      </c>
      <c r="J85" s="1" t="b">
        <f t="shared" si="12"/>
        <v>0</v>
      </c>
      <c r="K85" s="1" t="b">
        <f t="shared" si="12"/>
        <v>0</v>
      </c>
      <c r="L85" s="1" t="b">
        <f t="shared" si="12"/>
        <v>0</v>
      </c>
      <c r="M85" s="1" t="b">
        <f t="shared" si="12"/>
        <v>0</v>
      </c>
      <c r="N85" s="1" t="b">
        <f t="shared" si="12"/>
        <v>0</v>
      </c>
      <c r="O85" s="1" t="b">
        <f t="shared" si="12"/>
        <v>0</v>
      </c>
      <c r="P85" s="1" t="b">
        <f t="shared" si="12"/>
        <v>0</v>
      </c>
      <c r="Q85" s="1" t="b">
        <f t="shared" si="12"/>
        <v>0</v>
      </c>
      <c r="R85" s="1" t="b">
        <f t="shared" si="12"/>
        <v>0</v>
      </c>
      <c r="S85" s="1" t="b">
        <f t="shared" si="12"/>
        <v>0</v>
      </c>
      <c r="T85" s="1" t="b">
        <f t="shared" si="12"/>
        <v>0</v>
      </c>
      <c r="U85" s="1" t="b">
        <f t="shared" si="12"/>
        <v>1</v>
      </c>
      <c r="V85" s="1" t="b">
        <f t="shared" si="12"/>
        <v>1</v>
      </c>
      <c r="W85" s="1" t="b">
        <f t="shared" si="12"/>
        <v>1</v>
      </c>
      <c r="X85" s="1" t="b">
        <f t="shared" si="12"/>
        <v>1</v>
      </c>
      <c r="Y85" s="1" t="b">
        <f t="shared" si="12"/>
        <v>0</v>
      </c>
      <c r="Z85" s="1" t="b">
        <f t="shared" si="12"/>
        <v>0</v>
      </c>
      <c r="AA85" s="1" t="b">
        <f t="shared" si="12"/>
        <v>0</v>
      </c>
      <c r="AB85" s="1" t="b">
        <f t="shared" si="12"/>
        <v>0</v>
      </c>
      <c r="AC85" s="1" t="b">
        <f t="shared" si="12"/>
        <v>1</v>
      </c>
      <c r="AD85" s="1" t="b">
        <f t="shared" si="12"/>
        <v>0</v>
      </c>
    </row>
    <row r="86" spans="1:30">
      <c r="A86" s="1" t="b">
        <f t="shared" si="12"/>
        <v>0</v>
      </c>
      <c r="B86" s="1" t="b">
        <f t="shared" si="12"/>
        <v>1</v>
      </c>
      <c r="C86" s="1" t="b">
        <f t="shared" si="12"/>
        <v>1</v>
      </c>
      <c r="D86" s="1" t="b">
        <f t="shared" si="12"/>
        <v>1</v>
      </c>
      <c r="E86" s="1" t="b">
        <f t="shared" si="12"/>
        <v>1</v>
      </c>
      <c r="F86" s="1" t="b">
        <f t="shared" si="12"/>
        <v>1</v>
      </c>
      <c r="G86" s="1" t="b">
        <f t="shared" si="12"/>
        <v>0</v>
      </c>
      <c r="H86" s="1" t="b">
        <f t="shared" si="12"/>
        <v>0</v>
      </c>
      <c r="I86" s="1" t="b">
        <f t="shared" si="12"/>
        <v>0</v>
      </c>
      <c r="J86" s="1" t="b">
        <f t="shared" si="12"/>
        <v>0</v>
      </c>
      <c r="K86" s="1" t="b">
        <f t="shared" si="12"/>
        <v>0</v>
      </c>
      <c r="L86" s="1" t="b">
        <f t="shared" si="12"/>
        <v>0</v>
      </c>
      <c r="M86" s="1" t="b">
        <f t="shared" si="12"/>
        <v>0</v>
      </c>
      <c r="N86" s="1" t="b">
        <f t="shared" si="12"/>
        <v>0</v>
      </c>
      <c r="O86" s="1" t="b">
        <f t="shared" si="12"/>
        <v>0</v>
      </c>
      <c r="P86" s="1" t="b">
        <f t="shared" si="12"/>
        <v>0</v>
      </c>
      <c r="Q86" s="1" t="b">
        <f t="shared" si="12"/>
        <v>0</v>
      </c>
      <c r="R86" s="1" t="b">
        <f t="shared" si="12"/>
        <v>0</v>
      </c>
      <c r="S86" s="1" t="b">
        <f t="shared" si="12"/>
        <v>0</v>
      </c>
      <c r="T86" s="1" t="b">
        <f t="shared" si="12"/>
        <v>0</v>
      </c>
      <c r="U86" s="1" t="b">
        <f t="shared" si="12"/>
        <v>1</v>
      </c>
      <c r="V86" s="1" t="b">
        <f t="shared" si="12"/>
        <v>1</v>
      </c>
      <c r="W86" s="1" t="b">
        <f t="shared" si="12"/>
        <v>1</v>
      </c>
      <c r="X86" s="1" t="b">
        <f t="shared" si="12"/>
        <v>0</v>
      </c>
      <c r="Y86" s="1" t="b">
        <f t="shared" si="12"/>
        <v>0</v>
      </c>
      <c r="Z86" s="1" t="b">
        <f t="shared" si="12"/>
        <v>0</v>
      </c>
      <c r="AA86" s="1" t="b">
        <f t="shared" si="12"/>
        <v>0</v>
      </c>
      <c r="AB86" s="1" t="b">
        <f t="shared" si="12"/>
        <v>0</v>
      </c>
      <c r="AC86" s="1" t="b">
        <f t="shared" si="12"/>
        <v>1</v>
      </c>
      <c r="AD86" s="1" t="b">
        <f t="shared" si="12"/>
        <v>1</v>
      </c>
    </row>
    <row r="87" spans="1:30">
      <c r="A87" s="1" t="b">
        <f t="shared" si="12"/>
        <v>0</v>
      </c>
      <c r="B87" s="1" t="b">
        <f t="shared" si="12"/>
        <v>1</v>
      </c>
      <c r="C87" s="1" t="b">
        <f t="shared" si="12"/>
        <v>1</v>
      </c>
      <c r="D87" s="1" t="b">
        <f t="shared" si="12"/>
        <v>1</v>
      </c>
      <c r="E87" s="1" t="b">
        <f t="shared" si="12"/>
        <v>1</v>
      </c>
      <c r="F87" s="1" t="b">
        <f t="shared" si="12"/>
        <v>1</v>
      </c>
      <c r="G87" s="1" t="b">
        <f t="shared" si="12"/>
        <v>0</v>
      </c>
      <c r="H87" s="1" t="b">
        <f t="shared" si="12"/>
        <v>0</v>
      </c>
      <c r="I87" s="1" t="b">
        <f t="shared" si="12"/>
        <v>0</v>
      </c>
      <c r="J87" s="1" t="b">
        <f t="shared" si="12"/>
        <v>0</v>
      </c>
      <c r="K87" s="1" t="b">
        <f t="shared" si="12"/>
        <v>0</v>
      </c>
      <c r="L87" s="1" t="b">
        <f t="shared" si="12"/>
        <v>0</v>
      </c>
      <c r="M87" s="1" t="b">
        <f t="shared" si="12"/>
        <v>0</v>
      </c>
      <c r="N87" s="1" t="b">
        <f t="shared" si="12"/>
        <v>0</v>
      </c>
      <c r="O87" s="1" t="b">
        <f t="shared" si="12"/>
        <v>0</v>
      </c>
      <c r="P87" s="1" t="b">
        <f t="shared" si="12"/>
        <v>0</v>
      </c>
      <c r="Q87" s="1" t="b">
        <f t="shared" si="12"/>
        <v>0</v>
      </c>
      <c r="R87" s="1" t="b">
        <f t="shared" si="12"/>
        <v>0</v>
      </c>
      <c r="S87" s="1" t="b">
        <f t="shared" si="12"/>
        <v>0</v>
      </c>
      <c r="T87" s="1" t="b">
        <f t="shared" si="12"/>
        <v>0</v>
      </c>
      <c r="U87" s="1" t="b">
        <f t="shared" si="12"/>
        <v>1</v>
      </c>
      <c r="V87" s="1" t="b">
        <f t="shared" si="12"/>
        <v>1</v>
      </c>
      <c r="W87" s="1" t="b">
        <f t="shared" si="12"/>
        <v>1</v>
      </c>
      <c r="X87" s="1" t="b">
        <f t="shared" si="12"/>
        <v>0</v>
      </c>
      <c r="Y87" s="1" t="b">
        <f t="shared" si="12"/>
        <v>0</v>
      </c>
      <c r="Z87" s="1" t="b">
        <f t="shared" si="12"/>
        <v>0</v>
      </c>
      <c r="AA87" s="1" t="b">
        <f t="shared" si="12"/>
        <v>0</v>
      </c>
      <c r="AB87" s="1" t="b">
        <f t="shared" si="12"/>
        <v>0</v>
      </c>
      <c r="AC87" s="1" t="b">
        <f t="shared" si="12"/>
        <v>1</v>
      </c>
      <c r="AD87" s="1" t="b">
        <f t="shared" si="12"/>
        <v>1</v>
      </c>
    </row>
    <row r="88" spans="1:30">
      <c r="A88" s="1" t="b">
        <f t="shared" si="12"/>
        <v>0</v>
      </c>
      <c r="B88" s="1" t="b">
        <f t="shared" si="12"/>
        <v>1</v>
      </c>
      <c r="C88" s="1" t="b">
        <f t="shared" si="12"/>
        <v>1</v>
      </c>
      <c r="D88" s="1" t="b">
        <f t="shared" si="12"/>
        <v>1</v>
      </c>
      <c r="E88" s="1" t="b">
        <f t="shared" si="12"/>
        <v>1</v>
      </c>
      <c r="F88" s="1" t="b">
        <f t="shared" si="12"/>
        <v>1</v>
      </c>
      <c r="G88" s="1" t="b">
        <f t="shared" si="12"/>
        <v>0</v>
      </c>
      <c r="H88" s="1" t="b">
        <f t="shared" si="12"/>
        <v>0</v>
      </c>
      <c r="I88" s="1" t="b">
        <f t="shared" si="12"/>
        <v>0</v>
      </c>
      <c r="J88" s="1" t="b">
        <f t="shared" si="12"/>
        <v>0</v>
      </c>
      <c r="K88" s="1" t="b">
        <f t="shared" si="12"/>
        <v>0</v>
      </c>
      <c r="L88" s="1" t="b">
        <f t="shared" si="12"/>
        <v>0</v>
      </c>
      <c r="M88" s="1" t="b">
        <f t="shared" si="12"/>
        <v>0</v>
      </c>
      <c r="N88" s="1" t="b">
        <f t="shared" si="12"/>
        <v>0</v>
      </c>
      <c r="O88" s="1" t="b">
        <f t="shared" si="12"/>
        <v>0</v>
      </c>
      <c r="P88" s="1" t="b">
        <f t="shared" si="12"/>
        <v>0</v>
      </c>
      <c r="Q88" s="1" t="b">
        <f t="shared" si="12"/>
        <v>0</v>
      </c>
      <c r="R88" s="1" t="b">
        <f t="shared" si="12"/>
        <v>0</v>
      </c>
      <c r="S88" s="1" t="b">
        <f t="shared" si="12"/>
        <v>0</v>
      </c>
      <c r="T88" s="1" t="b">
        <f t="shared" si="12"/>
        <v>0</v>
      </c>
      <c r="U88" s="1" t="b">
        <f t="shared" si="12"/>
        <v>1</v>
      </c>
      <c r="V88" s="1" t="b">
        <f t="shared" si="12"/>
        <v>1</v>
      </c>
      <c r="W88" s="1" t="b">
        <f t="shared" si="12"/>
        <v>1</v>
      </c>
      <c r="X88" s="1" t="b">
        <f t="shared" si="12"/>
        <v>1</v>
      </c>
      <c r="Y88" s="1" t="b">
        <f t="shared" si="12"/>
        <v>0</v>
      </c>
      <c r="Z88" s="1" t="b">
        <f t="shared" si="12"/>
        <v>0</v>
      </c>
      <c r="AA88" s="1" t="b">
        <f t="shared" si="12"/>
        <v>0</v>
      </c>
      <c r="AB88" s="1" t="b">
        <f t="shared" si="12"/>
        <v>0</v>
      </c>
      <c r="AC88" s="1" t="b">
        <f t="shared" si="12"/>
        <v>1</v>
      </c>
      <c r="AD88" s="1" t="b">
        <f t="shared" si="12"/>
        <v>1</v>
      </c>
    </row>
    <row r="89" spans="1:30">
      <c r="A89" s="1" t="b">
        <f t="shared" si="12"/>
        <v>0</v>
      </c>
      <c r="B89" s="1" t="b">
        <f t="shared" si="12"/>
        <v>1</v>
      </c>
      <c r="C89" s="1" t="b">
        <f t="shared" si="12"/>
        <v>1</v>
      </c>
      <c r="D89" s="1" t="b">
        <f t="shared" si="12"/>
        <v>1</v>
      </c>
      <c r="E89" s="1" t="b">
        <f t="shared" si="12"/>
        <v>1</v>
      </c>
      <c r="F89" s="1" t="b">
        <f t="shared" si="12"/>
        <v>1</v>
      </c>
      <c r="G89" s="1" t="b">
        <f t="shared" si="12"/>
        <v>0</v>
      </c>
      <c r="H89" s="1" t="b">
        <f t="shared" si="12"/>
        <v>0</v>
      </c>
      <c r="I89" s="1" t="b">
        <f t="shared" si="12"/>
        <v>0</v>
      </c>
      <c r="J89" s="1" t="b">
        <f t="shared" si="12"/>
        <v>0</v>
      </c>
      <c r="K89" s="1" t="b">
        <f t="shared" si="12"/>
        <v>0</v>
      </c>
      <c r="L89" s="1" t="b">
        <f t="shared" si="12"/>
        <v>0</v>
      </c>
      <c r="M89" s="1" t="b">
        <f t="shared" si="12"/>
        <v>0</v>
      </c>
      <c r="N89" s="1" t="b">
        <f t="shared" si="12"/>
        <v>0</v>
      </c>
      <c r="O89" s="1" t="b">
        <f t="shared" si="12"/>
        <v>0</v>
      </c>
      <c r="P89" s="1" t="b">
        <f t="shared" si="12"/>
        <v>0</v>
      </c>
      <c r="Q89" s="1" t="b">
        <f t="shared" si="12"/>
        <v>0</v>
      </c>
      <c r="R89" s="1" t="b">
        <f t="shared" si="12"/>
        <v>0</v>
      </c>
      <c r="S89" s="1" t="b">
        <f t="shared" si="12"/>
        <v>0</v>
      </c>
      <c r="T89" s="1" t="b">
        <f t="shared" si="12"/>
        <v>0</v>
      </c>
      <c r="U89" s="1" t="b">
        <f t="shared" si="12"/>
        <v>1</v>
      </c>
      <c r="V89" s="1" t="b">
        <f t="shared" si="12"/>
        <v>1</v>
      </c>
      <c r="W89" s="1" t="b">
        <f t="shared" si="12"/>
        <v>1</v>
      </c>
      <c r="X89" s="1" t="b">
        <f t="shared" si="12"/>
        <v>0</v>
      </c>
      <c r="Y89" s="1" t="b">
        <f t="shared" si="12"/>
        <v>0</v>
      </c>
      <c r="Z89" s="1" t="b">
        <f t="shared" si="12"/>
        <v>0</v>
      </c>
      <c r="AA89" s="1" t="b">
        <f t="shared" si="12"/>
        <v>0</v>
      </c>
      <c r="AB89" s="1" t="b">
        <f t="shared" si="12"/>
        <v>0</v>
      </c>
      <c r="AC89" s="1" t="b">
        <f t="shared" si="12"/>
        <v>1</v>
      </c>
      <c r="AD89" s="1" t="b">
        <f t="shared" si="12"/>
        <v>1</v>
      </c>
    </row>
    <row r="90" spans="1:30">
      <c r="A90" s="1" t="b">
        <f t="shared" si="12"/>
        <v>0</v>
      </c>
      <c r="B90" s="1" t="b">
        <f t="shared" si="12"/>
        <v>1</v>
      </c>
      <c r="C90" s="1" t="b">
        <f t="shared" si="12"/>
        <v>1</v>
      </c>
      <c r="D90" s="1" t="b">
        <f t="shared" si="12"/>
        <v>1</v>
      </c>
      <c r="E90" s="1" t="b">
        <f t="shared" si="12"/>
        <v>1</v>
      </c>
      <c r="F90" s="1" t="b">
        <f t="shared" si="12"/>
        <v>1</v>
      </c>
      <c r="G90" s="1" t="b">
        <f t="shared" si="12"/>
        <v>0</v>
      </c>
      <c r="H90" s="1" t="b">
        <f t="shared" si="12"/>
        <v>0</v>
      </c>
      <c r="I90" s="1" t="b">
        <f t="shared" si="12"/>
        <v>0</v>
      </c>
      <c r="J90" s="1" t="b">
        <f t="shared" si="12"/>
        <v>0</v>
      </c>
      <c r="K90" s="1" t="b">
        <f t="shared" si="12"/>
        <v>0</v>
      </c>
      <c r="L90" s="1" t="b">
        <f t="shared" si="12"/>
        <v>0</v>
      </c>
      <c r="M90" s="1" t="b">
        <f t="shared" si="12"/>
        <v>0</v>
      </c>
      <c r="N90" s="1" t="b">
        <f t="shared" si="12"/>
        <v>0</v>
      </c>
      <c r="O90" s="1" t="b">
        <f t="shared" si="12"/>
        <v>0</v>
      </c>
      <c r="P90" s="1" t="b">
        <f t="shared" si="12"/>
        <v>0</v>
      </c>
      <c r="Q90" s="1" t="b">
        <f t="shared" si="12"/>
        <v>0</v>
      </c>
      <c r="R90" s="1" t="b">
        <f t="shared" si="12"/>
        <v>0</v>
      </c>
      <c r="S90" s="1" t="b">
        <f t="shared" si="12"/>
        <v>0</v>
      </c>
      <c r="T90" s="1" t="b">
        <f t="shared" si="12"/>
        <v>0</v>
      </c>
      <c r="U90" s="1" t="b">
        <f t="shared" si="12"/>
        <v>1</v>
      </c>
      <c r="V90" s="1" t="b">
        <f t="shared" si="12"/>
        <v>1</v>
      </c>
      <c r="W90" s="1" t="b">
        <f t="shared" si="12"/>
        <v>1</v>
      </c>
      <c r="X90" s="1" t="b">
        <f t="shared" si="12"/>
        <v>0</v>
      </c>
      <c r="Y90" s="1" t="b">
        <f t="shared" si="12"/>
        <v>0</v>
      </c>
      <c r="Z90" s="1" t="b">
        <f t="shared" si="12"/>
        <v>0</v>
      </c>
      <c r="AA90" s="1" t="b">
        <f t="shared" si="12"/>
        <v>0</v>
      </c>
      <c r="AB90" s="1" t="b">
        <f t="shared" si="12"/>
        <v>0</v>
      </c>
      <c r="AC90" s="1" t="b">
        <f t="shared" si="12"/>
        <v>1</v>
      </c>
      <c r="AD90" s="1" t="b">
        <f t="shared" si="12"/>
        <v>0</v>
      </c>
    </row>
    <row r="91" spans="1:30">
      <c r="A91" s="1" t="b">
        <f t="shared" si="12"/>
        <v>0</v>
      </c>
      <c r="B91" s="1" t="b">
        <f t="shared" si="12"/>
        <v>1</v>
      </c>
      <c r="C91" s="1" t="b">
        <f t="shared" si="12"/>
        <v>1</v>
      </c>
      <c r="D91" s="1" t="b">
        <f t="shared" si="12"/>
        <v>1</v>
      </c>
      <c r="E91" s="1" t="b">
        <f t="shared" si="12"/>
        <v>1</v>
      </c>
      <c r="F91" s="1" t="b">
        <f t="shared" si="12"/>
        <v>1</v>
      </c>
      <c r="G91" s="1" t="b">
        <f t="shared" si="12"/>
        <v>0</v>
      </c>
      <c r="H91" s="1" t="b">
        <f t="shared" si="12"/>
        <v>0</v>
      </c>
      <c r="I91" s="1" t="b">
        <f t="shared" si="12"/>
        <v>0</v>
      </c>
      <c r="J91" s="1" t="b">
        <f t="shared" si="12"/>
        <v>0</v>
      </c>
      <c r="K91" s="1" t="b">
        <f t="shared" si="12"/>
        <v>0</v>
      </c>
      <c r="L91" s="1" t="b">
        <f t="shared" si="12"/>
        <v>0</v>
      </c>
      <c r="M91" s="1" t="b">
        <f t="shared" si="12"/>
        <v>0</v>
      </c>
      <c r="N91" s="1" t="b">
        <f t="shared" si="12"/>
        <v>0</v>
      </c>
      <c r="O91" s="1" t="b">
        <f t="shared" si="12"/>
        <v>0</v>
      </c>
      <c r="P91" s="1" t="b">
        <f t="shared" si="12"/>
        <v>0</v>
      </c>
      <c r="Q91" s="1" t="b">
        <f t="shared" si="12"/>
        <v>0</v>
      </c>
      <c r="R91" s="1" t="b">
        <f t="shared" si="12"/>
        <v>0</v>
      </c>
      <c r="S91" s="1" t="b">
        <f t="shared" si="12"/>
        <v>0</v>
      </c>
      <c r="T91" s="1" t="b">
        <f t="shared" si="12"/>
        <v>0</v>
      </c>
      <c r="U91" s="1" t="b">
        <f t="shared" si="12"/>
        <v>1</v>
      </c>
      <c r="V91" s="1" t="b">
        <f t="shared" si="12"/>
        <v>1</v>
      </c>
      <c r="W91" s="1" t="b">
        <f t="shared" si="12"/>
        <v>1</v>
      </c>
      <c r="X91" s="1" t="b">
        <f t="shared" si="12"/>
        <v>0</v>
      </c>
      <c r="Y91" s="1" t="b">
        <f t="shared" si="12"/>
        <v>0</v>
      </c>
      <c r="Z91" s="1" t="b">
        <f t="shared" si="12"/>
        <v>0</v>
      </c>
      <c r="AA91" s="1" t="b">
        <f t="shared" si="12"/>
        <v>0</v>
      </c>
      <c r="AB91" s="1" t="b">
        <f t="shared" si="12"/>
        <v>0</v>
      </c>
      <c r="AC91" s="1" t="b">
        <f t="shared" si="12"/>
        <v>1</v>
      </c>
      <c r="AD91" s="1" t="b">
        <f t="shared" si="12"/>
        <v>1</v>
      </c>
    </row>
    <row r="92" spans="1:30">
      <c r="A92" s="1" t="b">
        <f t="shared" si="12"/>
        <v>0</v>
      </c>
      <c r="B92" s="1" t="b">
        <f t="shared" si="12"/>
        <v>1</v>
      </c>
      <c r="C92" s="1" t="b">
        <f t="shared" si="12"/>
        <v>1</v>
      </c>
      <c r="D92" s="1" t="b">
        <f t="shared" si="12"/>
        <v>1</v>
      </c>
      <c r="E92" s="1" t="b">
        <f t="shared" si="12"/>
        <v>1</v>
      </c>
      <c r="F92" s="1" t="b">
        <f t="shared" si="12"/>
        <v>1</v>
      </c>
      <c r="G92" s="1" t="b">
        <f t="shared" si="12"/>
        <v>0</v>
      </c>
      <c r="H92" s="1" t="b">
        <f t="shared" si="12"/>
        <v>0</v>
      </c>
      <c r="I92" s="1" t="b">
        <f t="shared" si="12"/>
        <v>0</v>
      </c>
      <c r="J92" s="1" t="b">
        <f t="shared" si="12"/>
        <v>0</v>
      </c>
      <c r="K92" s="1" t="b">
        <f t="shared" si="12"/>
        <v>0</v>
      </c>
      <c r="L92" s="1" t="b">
        <f t="shared" si="12"/>
        <v>0</v>
      </c>
      <c r="M92" s="1" t="b">
        <f t="shared" si="12"/>
        <v>0</v>
      </c>
      <c r="N92" s="1" t="b">
        <f t="shared" si="12"/>
        <v>0</v>
      </c>
      <c r="O92" s="1" t="b">
        <f t="shared" si="12"/>
        <v>0</v>
      </c>
      <c r="P92" s="1" t="b">
        <f t="shared" ref="P92:AD92" si="13">P44=P69</f>
        <v>0</v>
      </c>
      <c r="Q92" s="1" t="b">
        <f t="shared" si="13"/>
        <v>0</v>
      </c>
      <c r="R92" s="1" t="b">
        <f t="shared" si="13"/>
        <v>0</v>
      </c>
      <c r="S92" s="1" t="b">
        <f t="shared" si="13"/>
        <v>0</v>
      </c>
      <c r="T92" s="1" t="b">
        <f t="shared" si="13"/>
        <v>0</v>
      </c>
      <c r="U92" s="1" t="b">
        <f t="shared" si="13"/>
        <v>1</v>
      </c>
      <c r="V92" s="1" t="b">
        <f t="shared" si="13"/>
        <v>1</v>
      </c>
      <c r="W92" s="1" t="b">
        <f t="shared" si="13"/>
        <v>1</v>
      </c>
      <c r="X92" s="1" t="b">
        <f t="shared" si="13"/>
        <v>0</v>
      </c>
      <c r="Y92" s="1" t="b">
        <f t="shared" si="13"/>
        <v>0</v>
      </c>
      <c r="Z92" s="1" t="b">
        <f t="shared" si="13"/>
        <v>0</v>
      </c>
      <c r="AA92" s="1" t="b">
        <f t="shared" si="13"/>
        <v>0</v>
      </c>
      <c r="AB92" s="1" t="b">
        <f t="shared" si="13"/>
        <v>0</v>
      </c>
      <c r="AC92" s="1" t="b">
        <f t="shared" si="13"/>
        <v>1</v>
      </c>
      <c r="AD92" s="1" t="b">
        <f t="shared" si="13"/>
        <v>0</v>
      </c>
    </row>
    <row r="93" spans="1:30">
      <c r="A93" s="1" t="b">
        <f t="shared" ref="A93:AD94" si="14">A45=A70</f>
        <v>0</v>
      </c>
      <c r="B93" s="1" t="b">
        <f t="shared" si="14"/>
        <v>1</v>
      </c>
      <c r="C93" s="1" t="b">
        <f t="shared" si="14"/>
        <v>1</v>
      </c>
      <c r="D93" s="1" t="b">
        <f t="shared" si="14"/>
        <v>1</v>
      </c>
      <c r="E93" s="1" t="b">
        <f t="shared" si="14"/>
        <v>1</v>
      </c>
      <c r="F93" s="1" t="b">
        <f t="shared" si="14"/>
        <v>1</v>
      </c>
      <c r="G93" s="1" t="b">
        <f t="shared" si="14"/>
        <v>0</v>
      </c>
      <c r="H93" s="1" t="b">
        <f t="shared" si="14"/>
        <v>1</v>
      </c>
      <c r="I93" s="1" t="b">
        <f t="shared" si="14"/>
        <v>0</v>
      </c>
      <c r="J93" s="1" t="b">
        <f t="shared" si="14"/>
        <v>0</v>
      </c>
      <c r="K93" s="1" t="b">
        <f t="shared" si="14"/>
        <v>0</v>
      </c>
      <c r="L93" s="1" t="b">
        <f t="shared" si="14"/>
        <v>0</v>
      </c>
      <c r="M93" s="1" t="b">
        <f t="shared" si="14"/>
        <v>0</v>
      </c>
      <c r="N93" s="1" t="b">
        <f t="shared" si="14"/>
        <v>0</v>
      </c>
      <c r="O93" s="1" t="b">
        <f t="shared" si="14"/>
        <v>0</v>
      </c>
      <c r="P93" s="1" t="b">
        <f t="shared" si="14"/>
        <v>0</v>
      </c>
      <c r="Q93" s="1" t="b">
        <f t="shared" si="14"/>
        <v>0</v>
      </c>
      <c r="R93" s="1" t="b">
        <f t="shared" si="14"/>
        <v>0</v>
      </c>
      <c r="S93" s="1" t="b">
        <f t="shared" si="14"/>
        <v>0</v>
      </c>
      <c r="T93" s="1" t="b">
        <f t="shared" si="14"/>
        <v>0</v>
      </c>
      <c r="U93" s="1" t="b">
        <f t="shared" si="14"/>
        <v>1</v>
      </c>
      <c r="V93" s="1" t="b">
        <f t="shared" si="14"/>
        <v>1</v>
      </c>
      <c r="W93" s="1" t="b">
        <f t="shared" si="14"/>
        <v>1</v>
      </c>
      <c r="X93" s="1" t="b">
        <f t="shared" si="14"/>
        <v>1</v>
      </c>
      <c r="Y93" s="1" t="b">
        <f t="shared" si="14"/>
        <v>0</v>
      </c>
      <c r="Z93" s="1" t="b">
        <f t="shared" si="14"/>
        <v>0</v>
      </c>
      <c r="AA93" s="1" t="b">
        <f t="shared" si="14"/>
        <v>0</v>
      </c>
      <c r="AB93" s="1" t="b">
        <f t="shared" si="14"/>
        <v>0</v>
      </c>
      <c r="AC93" s="1" t="b">
        <f t="shared" si="14"/>
        <v>1</v>
      </c>
      <c r="AD93" s="1" t="b">
        <f t="shared" si="14"/>
        <v>1</v>
      </c>
    </row>
    <row r="94" spans="1:30">
      <c r="A94" s="1" t="b">
        <f>A46=A71</f>
        <v>0</v>
      </c>
      <c r="B94" s="1" t="b">
        <f t="shared" si="14"/>
        <v>1</v>
      </c>
      <c r="C94" s="1" t="b">
        <f t="shared" si="14"/>
        <v>1</v>
      </c>
      <c r="D94" s="1" t="b">
        <f t="shared" si="14"/>
        <v>1</v>
      </c>
      <c r="E94" s="1" t="b">
        <f t="shared" si="14"/>
        <v>1</v>
      </c>
      <c r="F94" s="1" t="b">
        <f t="shared" si="14"/>
        <v>1</v>
      </c>
      <c r="G94" s="1" t="b">
        <f t="shared" si="14"/>
        <v>0</v>
      </c>
      <c r="H94" s="1" t="b">
        <f t="shared" si="14"/>
        <v>0</v>
      </c>
      <c r="I94" s="1" t="b">
        <f t="shared" si="14"/>
        <v>0</v>
      </c>
      <c r="J94" s="1" t="b">
        <f t="shared" si="14"/>
        <v>0</v>
      </c>
      <c r="K94" s="1" t="b">
        <f t="shared" si="14"/>
        <v>0</v>
      </c>
      <c r="L94" s="1" t="b">
        <f t="shared" si="14"/>
        <v>0</v>
      </c>
      <c r="M94" s="1" t="b">
        <f t="shared" si="14"/>
        <v>0</v>
      </c>
      <c r="N94" s="1" t="b">
        <f t="shared" si="14"/>
        <v>0</v>
      </c>
      <c r="O94" s="1" t="b">
        <f t="shared" si="14"/>
        <v>0</v>
      </c>
      <c r="P94" s="1" t="b">
        <f t="shared" si="14"/>
        <v>0</v>
      </c>
      <c r="Q94" s="1" t="b">
        <f t="shared" si="14"/>
        <v>0</v>
      </c>
      <c r="R94" s="1" t="b">
        <f t="shared" si="14"/>
        <v>0</v>
      </c>
      <c r="S94" s="1" t="b">
        <f t="shared" si="14"/>
        <v>0</v>
      </c>
      <c r="T94" s="1" t="b">
        <f t="shared" si="14"/>
        <v>0</v>
      </c>
      <c r="U94" s="1" t="b">
        <f t="shared" si="14"/>
        <v>1</v>
      </c>
      <c r="V94" s="1" t="b">
        <f t="shared" si="14"/>
        <v>1</v>
      </c>
      <c r="W94" s="1" t="b">
        <f t="shared" si="14"/>
        <v>1</v>
      </c>
      <c r="X94" s="1" t="b">
        <f t="shared" si="14"/>
        <v>0</v>
      </c>
      <c r="Y94" s="1" t="b">
        <f t="shared" si="14"/>
        <v>0</v>
      </c>
      <c r="Z94" s="1" t="b">
        <f t="shared" si="14"/>
        <v>0</v>
      </c>
      <c r="AA94" s="1" t="b">
        <f t="shared" si="14"/>
        <v>0</v>
      </c>
      <c r="AB94" s="1" t="b">
        <f t="shared" si="14"/>
        <v>0</v>
      </c>
      <c r="AC94" s="1" t="b">
        <f t="shared" si="14"/>
        <v>1</v>
      </c>
      <c r="AD94" s="1" t="b">
        <f t="shared" si="14"/>
        <v>0</v>
      </c>
    </row>
    <row r="95" spans="1:30">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row>
    <row r="96" spans="1:30">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row>
    <row r="97" spans="1:30">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row>
    <row r="98" spans="1:30">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row>
    <row r="99" spans="1:30">
      <c r="A99" s="1"/>
    </row>
    <row r="100" spans="1:30">
      <c r="A100" s="1"/>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Reg">
                <anchor moveWithCells="1" sizeWithCells="1">
                  <from>
                    <xdr:col>32</xdr:col>
                    <xdr:colOff>190500</xdr:colOff>
                    <xdr:row>12</xdr:row>
                    <xdr:rowOff>47625</xdr:rowOff>
                  </from>
                  <to>
                    <xdr:col>34</xdr:col>
                    <xdr:colOff>104775</xdr:colOff>
                    <xdr:row>14</xdr:row>
                    <xdr:rowOff>171450</xdr:rowOff>
                  </to>
                </anchor>
              </controlPr>
            </control>
          </mc:Choice>
        </mc:AlternateContent>
        <mc:AlternateContent xmlns:mc="http://schemas.openxmlformats.org/markup-compatibility/2006">
          <mc:Choice Requires="x14">
            <control shapeId="5123" r:id="rId5" name="Button 3">
              <controlPr defaultSize="0" print="0" autoFill="0" autoPict="0" macro="[0]!transfer_to_RegionalTrends">
                <anchor moveWithCells="1" sizeWithCells="1">
                  <from>
                    <xdr:col>31</xdr:col>
                    <xdr:colOff>600075</xdr:colOff>
                    <xdr:row>3</xdr:row>
                    <xdr:rowOff>19050</xdr:rowOff>
                  </from>
                  <to>
                    <xdr:col>34</xdr:col>
                    <xdr:colOff>561975</xdr:colOff>
                    <xdr:row>4</xdr:row>
                    <xdr:rowOff>180975</xdr:rowOff>
                  </to>
                </anchor>
              </controlPr>
            </control>
          </mc:Choice>
        </mc:AlternateContent>
        <mc:AlternateContent xmlns:mc="http://schemas.openxmlformats.org/markup-compatibility/2006">
          <mc:Choice Requires="x14">
            <control shapeId="5124" r:id="rId6" name="Button 4">
              <controlPr defaultSize="0" print="0" autoFill="0" autoPict="0" macro="[0]!Reg">
                <anchor moveWithCells="1" sizeWithCells="1">
                  <from>
                    <xdr:col>2</xdr:col>
                    <xdr:colOff>638175</xdr:colOff>
                    <xdr:row>22</xdr:row>
                    <xdr:rowOff>57150</xdr:rowOff>
                  </from>
                  <to>
                    <xdr:col>3</xdr:col>
                    <xdr:colOff>733425</xdr:colOff>
                    <xdr:row>24</xdr:row>
                    <xdr:rowOff>180975</xdr:rowOff>
                  </to>
                </anchor>
              </controlPr>
            </control>
          </mc:Choice>
        </mc:AlternateContent>
        <mc:AlternateContent xmlns:mc="http://schemas.openxmlformats.org/markup-compatibility/2006">
          <mc:Choice Requires="x14">
            <control shapeId="5125" r:id="rId7" name="Button 5">
              <controlPr defaultSize="0" print="0" autoFill="0" autoPict="0" macro="[0]!transfer_to_RegionalTrends">
                <anchor moveWithCells="1" sizeWithCells="1">
                  <from>
                    <xdr:col>0</xdr:col>
                    <xdr:colOff>0</xdr:colOff>
                    <xdr:row>22</xdr:row>
                    <xdr:rowOff>76200</xdr:rowOff>
                  </from>
                  <to>
                    <xdr:col>2</xdr:col>
                    <xdr:colOff>361950</xdr:colOff>
                    <xdr:row>24</xdr:row>
                    <xdr:rowOff>47625</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1C78C-6EC2-4F54-8813-907D512925B5}">
  <sheetPr codeName="Foglio2"/>
  <dimension ref="A1:AF519"/>
  <sheetViews>
    <sheetView workbookViewId="0">
      <selection activeCell="A2" sqref="A2"/>
    </sheetView>
  </sheetViews>
  <sheetFormatPr defaultRowHeight="15"/>
  <cols>
    <col min="1" max="1" width="15.85546875" bestFit="1" customWidth="1"/>
    <col min="2" max="2" width="7.7109375" bestFit="1" customWidth="1"/>
    <col min="3" max="3" width="17" bestFit="1" customWidth="1"/>
    <col min="4" max="4" width="25.42578125" bestFit="1" customWidth="1"/>
    <col min="5" max="5" width="18.28515625" bestFit="1" customWidth="1"/>
    <col min="6" max="6" width="34.7109375" bestFit="1" customWidth="1"/>
    <col min="7" max="7" width="16.5703125" bestFit="1" customWidth="1"/>
    <col min="8" max="9" width="11" bestFit="1" customWidth="1"/>
    <col min="10" max="10" width="12.85546875" bestFit="1" customWidth="1"/>
    <col min="11" max="11" width="7.42578125" bestFit="1" customWidth="1"/>
    <col min="12" max="14" width="16" bestFit="1" customWidth="1"/>
    <col min="16" max="16" width="15.5703125" customWidth="1"/>
    <col min="17" max="17" width="12.28515625" customWidth="1"/>
    <col min="21" max="21" width="11" customWidth="1"/>
    <col min="29" max="29" width="10.7109375" bestFit="1" customWidth="1"/>
    <col min="30" max="30" width="11" customWidth="1"/>
    <col min="31" max="31" width="10.7109375" bestFit="1" customWidth="1"/>
  </cols>
  <sheetData>
    <row r="1" spans="1:32">
      <c r="A1" t="s">
        <v>1</v>
      </c>
      <c r="B1" t="s">
        <v>2</v>
      </c>
      <c r="C1" t="s">
        <v>3</v>
      </c>
      <c r="D1" t="s">
        <v>4</v>
      </c>
      <c r="E1" t="s">
        <v>5</v>
      </c>
      <c r="F1" t="s">
        <v>6</v>
      </c>
      <c r="G1" t="s">
        <v>7</v>
      </c>
      <c r="H1" t="s">
        <v>8</v>
      </c>
      <c r="I1" t="s">
        <v>9</v>
      </c>
      <c r="J1" t="s">
        <v>10</v>
      </c>
      <c r="K1" t="s">
        <v>11</v>
      </c>
      <c r="L1" t="s">
        <v>556</v>
      </c>
      <c r="M1" t="s">
        <v>557</v>
      </c>
      <c r="N1" t="s">
        <v>558</v>
      </c>
      <c r="P1" s="1"/>
      <c r="Q1" s="4" t="s">
        <v>263</v>
      </c>
      <c r="AC1" s="1" t="s">
        <v>348</v>
      </c>
      <c r="AF1" s="3" t="s">
        <v>349</v>
      </c>
    </row>
    <row r="2" spans="1:32">
      <c r="A2" s="1">
        <v>44863.708333333336</v>
      </c>
      <c r="B2" s="2" t="s">
        <v>12</v>
      </c>
      <c r="C2">
        <v>13</v>
      </c>
      <c r="D2" s="2" t="s">
        <v>13</v>
      </c>
      <c r="E2">
        <v>66</v>
      </c>
      <c r="F2" s="2" t="s">
        <v>14</v>
      </c>
      <c r="G2" s="2" t="s">
        <v>15</v>
      </c>
      <c r="H2">
        <v>4235122196</v>
      </c>
      <c r="I2">
        <v>1339843823</v>
      </c>
      <c r="J2">
        <v>119638</v>
      </c>
      <c r="K2" s="2" t="s">
        <v>588</v>
      </c>
      <c r="L2" s="2" t="s">
        <v>423</v>
      </c>
      <c r="M2" s="2" t="s">
        <v>424</v>
      </c>
      <c r="N2" s="2" t="s">
        <v>449</v>
      </c>
      <c r="P2" s="19"/>
      <c r="Q2" s="5">
        <f>INT(A2)+17/24</f>
        <v>44863.708333333336</v>
      </c>
      <c r="R2" t="s">
        <v>12</v>
      </c>
      <c r="S2">
        <v>13</v>
      </c>
      <c r="T2" t="s">
        <v>13</v>
      </c>
      <c r="U2">
        <v>69</v>
      </c>
      <c r="V2" t="s">
        <v>20</v>
      </c>
      <c r="W2" t="s">
        <v>21</v>
      </c>
      <c r="X2">
        <v>42.351031669999998</v>
      </c>
      <c r="Y2">
        <v>14.16754574</v>
      </c>
      <c r="Z2">
        <f t="shared" ref="Z2:Z65" si="0">SUMIFS(J:J,F:F,V2,D:D,T2)</f>
        <v>167960</v>
      </c>
      <c r="AC2" s="3" t="s">
        <v>350</v>
      </c>
    </row>
    <row r="3" spans="1:32">
      <c r="A3" s="1">
        <v>44863.708333333336</v>
      </c>
      <c r="B3" s="2" t="s">
        <v>12</v>
      </c>
      <c r="C3">
        <v>13</v>
      </c>
      <c r="D3" s="2" t="s">
        <v>13</v>
      </c>
      <c r="E3">
        <v>67</v>
      </c>
      <c r="F3" s="2" t="s">
        <v>16</v>
      </c>
      <c r="G3" s="2" t="s">
        <v>17</v>
      </c>
      <c r="H3">
        <v>426589177</v>
      </c>
      <c r="I3">
        <v>1370439971</v>
      </c>
      <c r="J3">
        <v>139899</v>
      </c>
      <c r="K3" s="2" t="s">
        <v>588</v>
      </c>
      <c r="L3" s="2" t="s">
        <v>423</v>
      </c>
      <c r="M3" s="2" t="s">
        <v>424</v>
      </c>
      <c r="N3" s="2" t="s">
        <v>450</v>
      </c>
      <c r="Q3" s="5">
        <f>Q$2</f>
        <v>44863.708333333336</v>
      </c>
      <c r="R3" t="s">
        <v>12</v>
      </c>
      <c r="S3">
        <v>13</v>
      </c>
      <c r="T3" t="s">
        <v>13</v>
      </c>
      <c r="U3">
        <v>66</v>
      </c>
      <c r="V3" t="s">
        <v>14</v>
      </c>
      <c r="W3" t="s">
        <v>15</v>
      </c>
      <c r="X3">
        <v>42.351221959999997</v>
      </c>
      <c r="Y3">
        <v>13.39843823</v>
      </c>
      <c r="Z3">
        <f t="shared" si="0"/>
        <v>119638</v>
      </c>
      <c r="AC3" s="6" t="s">
        <v>0</v>
      </c>
    </row>
    <row r="4" spans="1:32">
      <c r="A4" s="1">
        <v>44863.708333333336</v>
      </c>
      <c r="B4" s="2" t="s">
        <v>12</v>
      </c>
      <c r="C4">
        <v>13</v>
      </c>
      <c r="D4" s="2" t="s">
        <v>13</v>
      </c>
      <c r="E4">
        <v>68</v>
      </c>
      <c r="F4" s="2" t="s">
        <v>18</v>
      </c>
      <c r="G4" s="2" t="s">
        <v>19</v>
      </c>
      <c r="H4">
        <v>4246458398</v>
      </c>
      <c r="I4">
        <v>1421364822</v>
      </c>
      <c r="J4">
        <v>138401</v>
      </c>
      <c r="K4" s="2" t="s">
        <v>588</v>
      </c>
      <c r="L4" s="2" t="s">
        <v>423</v>
      </c>
      <c r="M4" s="2" t="s">
        <v>424</v>
      </c>
      <c r="N4" s="2" t="s">
        <v>451</v>
      </c>
      <c r="Q4" s="5">
        <f t="shared" ref="Q4:Q67" si="1">Q$2</f>
        <v>44863.708333333336</v>
      </c>
      <c r="R4" t="s">
        <v>12</v>
      </c>
      <c r="S4">
        <v>13</v>
      </c>
      <c r="T4" t="s">
        <v>13</v>
      </c>
      <c r="U4">
        <v>68</v>
      </c>
      <c r="V4" t="s">
        <v>18</v>
      </c>
      <c r="W4" t="s">
        <v>19</v>
      </c>
      <c r="X4">
        <v>42.46458398</v>
      </c>
      <c r="Y4">
        <v>14.21364822</v>
      </c>
      <c r="Z4">
        <f t="shared" si="0"/>
        <v>138401</v>
      </c>
    </row>
    <row r="5" spans="1:32">
      <c r="A5" s="1">
        <v>44863.708333333336</v>
      </c>
      <c r="B5" s="2" t="s">
        <v>12</v>
      </c>
      <c r="C5">
        <v>13</v>
      </c>
      <c r="D5" s="2" t="s">
        <v>13</v>
      </c>
      <c r="E5">
        <v>69</v>
      </c>
      <c r="F5" s="2" t="s">
        <v>20</v>
      </c>
      <c r="G5" s="2" t="s">
        <v>21</v>
      </c>
      <c r="H5">
        <v>4235103167</v>
      </c>
      <c r="I5">
        <v>1416754574</v>
      </c>
      <c r="J5">
        <v>167960</v>
      </c>
      <c r="K5" s="2" t="s">
        <v>588</v>
      </c>
      <c r="L5" s="2" t="s">
        <v>423</v>
      </c>
      <c r="M5" s="2" t="s">
        <v>424</v>
      </c>
      <c r="N5" s="2" t="s">
        <v>452</v>
      </c>
      <c r="Q5" s="5">
        <f t="shared" si="1"/>
        <v>44863.708333333336</v>
      </c>
      <c r="R5" t="s">
        <v>12</v>
      </c>
      <c r="S5">
        <v>13</v>
      </c>
      <c r="T5" t="s">
        <v>13</v>
      </c>
      <c r="U5">
        <v>67</v>
      </c>
      <c r="V5" t="s">
        <v>16</v>
      </c>
      <c r="W5" t="s">
        <v>17</v>
      </c>
      <c r="X5">
        <v>42.658917700000003</v>
      </c>
      <c r="Y5">
        <v>13.704399710000001</v>
      </c>
      <c r="Z5">
        <f t="shared" si="0"/>
        <v>139899</v>
      </c>
      <c r="AC5" s="4" t="s">
        <v>604</v>
      </c>
    </row>
    <row r="6" spans="1:32">
      <c r="A6" s="1">
        <v>44863.708333333336</v>
      </c>
      <c r="B6" s="2" t="s">
        <v>12</v>
      </c>
      <c r="C6">
        <v>13</v>
      </c>
      <c r="D6" s="2" t="s">
        <v>13</v>
      </c>
      <c r="E6">
        <v>879</v>
      </c>
      <c r="F6" s="2" t="s">
        <v>22</v>
      </c>
      <c r="G6" s="2" t="s">
        <v>588</v>
      </c>
      <c r="J6">
        <v>12633</v>
      </c>
      <c r="K6" s="2" t="s">
        <v>588</v>
      </c>
      <c r="L6" s="2" t="s">
        <v>423</v>
      </c>
      <c r="M6" s="2" t="s">
        <v>424</v>
      </c>
      <c r="N6" s="2" t="s">
        <v>588</v>
      </c>
      <c r="P6" s="5"/>
      <c r="Q6" s="5">
        <f t="shared" si="1"/>
        <v>44863.708333333336</v>
      </c>
      <c r="R6" t="s">
        <v>12</v>
      </c>
      <c r="S6">
        <v>13</v>
      </c>
      <c r="T6" t="s">
        <v>13</v>
      </c>
      <c r="U6">
        <v>979</v>
      </c>
      <c r="V6" t="s">
        <v>264</v>
      </c>
      <c r="X6">
        <v>0</v>
      </c>
      <c r="Y6">
        <v>0</v>
      </c>
      <c r="Z6">
        <f t="shared" si="0"/>
        <v>0</v>
      </c>
      <c r="AA6">
        <f>SUMIFS(J:J,F:F,"Fuori Regione / Provincia Autonoma",D:D,T6)</f>
        <v>12633</v>
      </c>
      <c r="AC6" t="s">
        <v>601</v>
      </c>
    </row>
    <row r="7" spans="1:32">
      <c r="A7" s="1">
        <v>44863.708333333336</v>
      </c>
      <c r="B7" s="2" t="s">
        <v>12</v>
      </c>
      <c r="C7">
        <v>13</v>
      </c>
      <c r="D7" s="2" t="s">
        <v>13</v>
      </c>
      <c r="E7">
        <v>979</v>
      </c>
      <c r="F7" s="2" t="s">
        <v>23</v>
      </c>
      <c r="G7" s="2" t="s">
        <v>588</v>
      </c>
      <c r="J7">
        <v>8686</v>
      </c>
      <c r="K7" s="2" t="s">
        <v>588</v>
      </c>
      <c r="L7" s="2" t="s">
        <v>423</v>
      </c>
      <c r="M7" s="2" t="s">
        <v>424</v>
      </c>
      <c r="N7" s="2" t="s">
        <v>588</v>
      </c>
      <c r="Q7" s="5">
        <f t="shared" si="1"/>
        <v>44863.708333333336</v>
      </c>
      <c r="R7" t="s">
        <v>12</v>
      </c>
      <c r="S7">
        <v>17</v>
      </c>
      <c r="T7" t="s">
        <v>24</v>
      </c>
      <c r="U7">
        <v>77</v>
      </c>
      <c r="V7" t="s">
        <v>27</v>
      </c>
      <c r="W7" t="s">
        <v>28</v>
      </c>
      <c r="X7">
        <v>40.667511769999997</v>
      </c>
      <c r="Y7">
        <v>16.597924419999998</v>
      </c>
      <c r="Z7">
        <f t="shared" si="0"/>
        <v>64190</v>
      </c>
      <c r="AC7" s="5">
        <v>43885</v>
      </c>
      <c r="AD7" s="5">
        <f>Q2</f>
        <v>44863.708333333336</v>
      </c>
      <c r="AE7" s="16" t="s">
        <v>598</v>
      </c>
      <c r="AF7">
        <f>5+INT(Q2-AC7)*128</f>
        <v>125189</v>
      </c>
    </row>
    <row r="8" spans="1:32">
      <c r="A8" s="1">
        <v>44863.708333333336</v>
      </c>
      <c r="B8" s="2" t="s">
        <v>12</v>
      </c>
      <c r="C8">
        <v>17</v>
      </c>
      <c r="D8" s="2" t="s">
        <v>24</v>
      </c>
      <c r="E8">
        <v>76</v>
      </c>
      <c r="F8" s="2" t="s">
        <v>25</v>
      </c>
      <c r="G8" s="2" t="s">
        <v>26</v>
      </c>
      <c r="H8">
        <v>4063947052</v>
      </c>
      <c r="I8">
        <v>1580514834</v>
      </c>
      <c r="J8">
        <v>121372</v>
      </c>
      <c r="K8" s="2" t="s">
        <v>588</v>
      </c>
      <c r="L8" s="2" t="s">
        <v>423</v>
      </c>
      <c r="M8" s="2" t="s">
        <v>425</v>
      </c>
      <c r="N8" s="2" t="s">
        <v>453</v>
      </c>
      <c r="P8" s="5"/>
      <c r="Q8" s="5">
        <f t="shared" si="1"/>
        <v>44863.708333333336</v>
      </c>
      <c r="R8" t="s">
        <v>12</v>
      </c>
      <c r="S8">
        <v>17</v>
      </c>
      <c r="T8" t="s">
        <v>24</v>
      </c>
      <c r="U8">
        <v>76</v>
      </c>
      <c r="V8" t="s">
        <v>25</v>
      </c>
      <c r="W8" t="s">
        <v>26</v>
      </c>
      <c r="X8">
        <v>40.639470520000003</v>
      </c>
      <c r="Y8">
        <v>15.805148340000001</v>
      </c>
      <c r="Z8">
        <f t="shared" si="0"/>
        <v>121372</v>
      </c>
    </row>
    <row r="9" spans="1:32">
      <c r="A9" s="1">
        <v>44863.708333333336</v>
      </c>
      <c r="B9" s="2" t="s">
        <v>12</v>
      </c>
      <c r="C9">
        <v>17</v>
      </c>
      <c r="D9" s="2" t="s">
        <v>24</v>
      </c>
      <c r="E9">
        <v>77</v>
      </c>
      <c r="F9" s="2" t="s">
        <v>27</v>
      </c>
      <c r="G9" s="2" t="s">
        <v>28</v>
      </c>
      <c r="H9">
        <v>4066751177</v>
      </c>
      <c r="I9">
        <v>1659792442</v>
      </c>
      <c r="J9">
        <v>64190</v>
      </c>
      <c r="K9" s="2" t="s">
        <v>588</v>
      </c>
      <c r="L9" s="2" t="s">
        <v>423</v>
      </c>
      <c r="M9" s="2" t="s">
        <v>425</v>
      </c>
      <c r="N9" s="2" t="s">
        <v>454</v>
      </c>
      <c r="Q9" s="5">
        <f t="shared" si="1"/>
        <v>44863.708333333336</v>
      </c>
      <c r="R9" t="s">
        <v>12</v>
      </c>
      <c r="S9">
        <v>17</v>
      </c>
      <c r="T9" t="s">
        <v>24</v>
      </c>
      <c r="U9">
        <v>980</v>
      </c>
      <c r="V9" t="s">
        <v>264</v>
      </c>
      <c r="X9">
        <v>0</v>
      </c>
      <c r="Y9">
        <v>0</v>
      </c>
      <c r="Z9">
        <f t="shared" si="0"/>
        <v>0</v>
      </c>
      <c r="AA9">
        <f>SUMIFS(J:J,F:F,"Fuori Regione / Provincia Autonoma",D:D,T9)</f>
        <v>3246</v>
      </c>
    </row>
    <row r="10" spans="1:32">
      <c r="A10" s="1">
        <v>44863.708333333336</v>
      </c>
      <c r="B10" s="2" t="s">
        <v>12</v>
      </c>
      <c r="C10">
        <v>17</v>
      </c>
      <c r="D10" s="2" t="s">
        <v>24</v>
      </c>
      <c r="E10">
        <v>880</v>
      </c>
      <c r="F10" s="2" t="s">
        <v>22</v>
      </c>
      <c r="G10" s="2" t="s">
        <v>588</v>
      </c>
      <c r="J10">
        <v>3246</v>
      </c>
      <c r="K10" s="2" t="s">
        <v>588</v>
      </c>
      <c r="L10" s="2" t="s">
        <v>423</v>
      </c>
      <c r="M10" s="2" t="s">
        <v>425</v>
      </c>
      <c r="N10" s="2" t="s">
        <v>588</v>
      </c>
      <c r="Q10" s="5">
        <f t="shared" si="1"/>
        <v>44863.708333333336</v>
      </c>
      <c r="R10" t="s">
        <v>12</v>
      </c>
      <c r="S10">
        <v>21</v>
      </c>
      <c r="T10" t="s">
        <v>140</v>
      </c>
      <c r="U10">
        <v>21</v>
      </c>
      <c r="V10" t="s">
        <v>141</v>
      </c>
      <c r="W10" t="s">
        <v>142</v>
      </c>
      <c r="X10">
        <v>46.499334529999999</v>
      </c>
      <c r="Y10">
        <v>11.35662422</v>
      </c>
      <c r="Z10">
        <f t="shared" si="0"/>
        <v>264225</v>
      </c>
      <c r="AD10" t="s">
        <v>594</v>
      </c>
      <c r="AE10" t="s">
        <v>595</v>
      </c>
    </row>
    <row r="11" spans="1:32">
      <c r="A11" s="1">
        <v>44863.708333333336</v>
      </c>
      <c r="B11" s="2" t="s">
        <v>12</v>
      </c>
      <c r="C11">
        <v>17</v>
      </c>
      <c r="D11" s="2" t="s">
        <v>24</v>
      </c>
      <c r="E11">
        <v>980</v>
      </c>
      <c r="F11" s="2" t="s">
        <v>23</v>
      </c>
      <c r="G11" s="2" t="s">
        <v>588</v>
      </c>
      <c r="J11">
        <v>0</v>
      </c>
      <c r="K11" s="2" t="s">
        <v>588</v>
      </c>
      <c r="L11" s="2" t="s">
        <v>423</v>
      </c>
      <c r="M11" s="2" t="s">
        <v>425</v>
      </c>
      <c r="N11" s="2" t="s">
        <v>588</v>
      </c>
      <c r="Q11" s="5">
        <f t="shared" si="1"/>
        <v>44863.708333333336</v>
      </c>
      <c r="R11" t="s">
        <v>12</v>
      </c>
      <c r="S11">
        <v>21</v>
      </c>
      <c r="T11" t="s">
        <v>140</v>
      </c>
      <c r="U11">
        <v>981</v>
      </c>
      <c r="V11" t="s">
        <v>264</v>
      </c>
      <c r="X11">
        <v>0</v>
      </c>
      <c r="Y11">
        <v>0</v>
      </c>
      <c r="Z11">
        <f t="shared" si="0"/>
        <v>0</v>
      </c>
      <c r="AA11">
        <f>SUMIFS(J:J,F:F,"Fuori Regione / Provincia Autonoma",D:D,T11)</f>
        <v>17317</v>
      </c>
      <c r="AC11" s="16" t="s">
        <v>597</v>
      </c>
      <c r="AD11">
        <f>ROW(Q129)-ROW(Q2)+1</f>
        <v>128</v>
      </c>
      <c r="AE11" s="2">
        <f>COLUMN(AA2)-COLUMN(Q2)+1</f>
        <v>11</v>
      </c>
    </row>
    <row r="12" spans="1:32">
      <c r="A12" s="1">
        <v>44863.708333333336</v>
      </c>
      <c r="B12" s="2" t="s">
        <v>12</v>
      </c>
      <c r="C12">
        <v>18</v>
      </c>
      <c r="D12" s="2" t="s">
        <v>29</v>
      </c>
      <c r="E12">
        <v>78</v>
      </c>
      <c r="F12" s="2" t="s">
        <v>30</v>
      </c>
      <c r="G12" s="2" t="s">
        <v>31</v>
      </c>
      <c r="H12">
        <v>3929308681</v>
      </c>
      <c r="I12">
        <v>1625609692</v>
      </c>
      <c r="J12">
        <v>170614</v>
      </c>
      <c r="K12" s="2" t="s">
        <v>588</v>
      </c>
      <c r="L12" s="2" t="s">
        <v>423</v>
      </c>
      <c r="M12" s="2" t="s">
        <v>438</v>
      </c>
      <c r="N12" s="2" t="s">
        <v>455</v>
      </c>
      <c r="Q12" s="5">
        <f t="shared" si="1"/>
        <v>44863.708333333336</v>
      </c>
      <c r="R12" t="s">
        <v>12</v>
      </c>
      <c r="S12">
        <v>18</v>
      </c>
      <c r="T12" t="s">
        <v>29</v>
      </c>
      <c r="U12">
        <v>79</v>
      </c>
      <c r="V12" t="s">
        <v>32</v>
      </c>
      <c r="W12" t="s">
        <v>33</v>
      </c>
      <c r="X12">
        <v>38.905975980000001</v>
      </c>
      <c r="Y12">
        <v>16.594401940000001</v>
      </c>
      <c r="Z12">
        <f t="shared" si="0"/>
        <v>99441</v>
      </c>
      <c r="AC12" s="16" t="s">
        <v>596</v>
      </c>
      <c r="AD12">
        <f>ROW(A150)-ROW(A2)+1</f>
        <v>149</v>
      </c>
      <c r="AE12" s="2">
        <f>COLUMN(N2)-COLUMN(A2)+1</f>
        <v>14</v>
      </c>
    </row>
    <row r="13" spans="1:32">
      <c r="A13" s="1">
        <v>44863.708333333336</v>
      </c>
      <c r="B13" s="2" t="s">
        <v>12</v>
      </c>
      <c r="C13">
        <v>18</v>
      </c>
      <c r="D13" s="2" t="s">
        <v>29</v>
      </c>
      <c r="E13">
        <v>79</v>
      </c>
      <c r="F13" s="2" t="s">
        <v>32</v>
      </c>
      <c r="G13" s="2" t="s">
        <v>33</v>
      </c>
      <c r="H13">
        <v>3890597598</v>
      </c>
      <c r="I13">
        <v>1659440194</v>
      </c>
      <c r="J13">
        <v>99441</v>
      </c>
      <c r="K13" s="2" t="s">
        <v>588</v>
      </c>
      <c r="L13" s="2" t="s">
        <v>423</v>
      </c>
      <c r="M13" s="2" t="s">
        <v>438</v>
      </c>
      <c r="N13" s="2" t="s">
        <v>456</v>
      </c>
      <c r="Q13" s="5">
        <f t="shared" si="1"/>
        <v>44863.708333333336</v>
      </c>
      <c r="R13" t="s">
        <v>12</v>
      </c>
      <c r="S13">
        <v>18</v>
      </c>
      <c r="T13" t="s">
        <v>29</v>
      </c>
      <c r="U13">
        <v>78</v>
      </c>
      <c r="V13" t="s">
        <v>30</v>
      </c>
      <c r="W13" t="s">
        <v>31</v>
      </c>
      <c r="X13">
        <v>39.293086809999998</v>
      </c>
      <c r="Y13">
        <v>16.256096920000001</v>
      </c>
      <c r="Z13">
        <f t="shared" si="0"/>
        <v>170614</v>
      </c>
    </row>
    <row r="14" spans="1:32">
      <c r="A14" s="1">
        <v>44863.708333333336</v>
      </c>
      <c r="B14" s="2" t="s">
        <v>12</v>
      </c>
      <c r="C14">
        <v>18</v>
      </c>
      <c r="D14" s="2" t="s">
        <v>29</v>
      </c>
      <c r="E14">
        <v>80</v>
      </c>
      <c r="F14" s="2" t="s">
        <v>34</v>
      </c>
      <c r="G14" s="2" t="s">
        <v>35</v>
      </c>
      <c r="H14">
        <v>3810922769</v>
      </c>
      <c r="I14">
        <v>156434527</v>
      </c>
      <c r="J14">
        <v>196074</v>
      </c>
      <c r="K14" s="2" t="s">
        <v>588</v>
      </c>
      <c r="L14" s="2" t="s">
        <v>423</v>
      </c>
      <c r="M14" s="2" t="s">
        <v>438</v>
      </c>
      <c r="N14" s="2" t="s">
        <v>457</v>
      </c>
      <c r="Q14" s="5">
        <f t="shared" si="1"/>
        <v>44863.708333333336</v>
      </c>
      <c r="R14" t="s">
        <v>12</v>
      </c>
      <c r="S14">
        <v>18</v>
      </c>
      <c r="T14" t="s">
        <v>29</v>
      </c>
      <c r="U14">
        <v>101</v>
      </c>
      <c r="V14" t="s">
        <v>36</v>
      </c>
      <c r="W14" t="s">
        <v>37</v>
      </c>
      <c r="X14">
        <v>39.080368780000001</v>
      </c>
      <c r="Y14">
        <v>17.125388640000001</v>
      </c>
      <c r="Z14">
        <f t="shared" si="0"/>
        <v>56892</v>
      </c>
      <c r="AC14" t="s">
        <v>603</v>
      </c>
    </row>
    <row r="15" spans="1:32">
      <c r="A15" s="1">
        <v>44863.708333333336</v>
      </c>
      <c r="B15" s="2" t="s">
        <v>12</v>
      </c>
      <c r="C15">
        <v>18</v>
      </c>
      <c r="D15" s="2" t="s">
        <v>29</v>
      </c>
      <c r="E15">
        <v>101</v>
      </c>
      <c r="F15" s="2" t="s">
        <v>36</v>
      </c>
      <c r="G15" s="2" t="s">
        <v>37</v>
      </c>
      <c r="H15">
        <v>3908036878</v>
      </c>
      <c r="I15">
        <v>1712538864</v>
      </c>
      <c r="J15">
        <v>56892</v>
      </c>
      <c r="K15" s="2" t="s">
        <v>588</v>
      </c>
      <c r="L15" s="2" t="s">
        <v>423</v>
      </c>
      <c r="M15" s="2" t="s">
        <v>438</v>
      </c>
      <c r="N15" s="2" t="s">
        <v>458</v>
      </c>
      <c r="Q15" s="5">
        <f t="shared" si="1"/>
        <v>44863.708333333336</v>
      </c>
      <c r="R15" t="s">
        <v>12</v>
      </c>
      <c r="S15">
        <v>18</v>
      </c>
      <c r="T15" t="s">
        <v>29</v>
      </c>
      <c r="U15">
        <v>80</v>
      </c>
      <c r="V15" t="s">
        <v>34</v>
      </c>
      <c r="W15" t="s">
        <v>35</v>
      </c>
      <c r="X15">
        <v>38.109227689999997</v>
      </c>
      <c r="Y15">
        <v>15.643452699999999</v>
      </c>
      <c r="Z15">
        <f t="shared" si="0"/>
        <v>196074</v>
      </c>
    </row>
    <row r="16" spans="1:32">
      <c r="A16" s="1">
        <v>44863.708333333336</v>
      </c>
      <c r="B16" s="2" t="s">
        <v>12</v>
      </c>
      <c r="C16">
        <v>18</v>
      </c>
      <c r="D16" s="2" t="s">
        <v>29</v>
      </c>
      <c r="E16">
        <v>102</v>
      </c>
      <c r="F16" s="2" t="s">
        <v>38</v>
      </c>
      <c r="G16" s="2" t="s">
        <v>39</v>
      </c>
      <c r="H16">
        <v>3867624147</v>
      </c>
      <c r="I16">
        <v>1610157414</v>
      </c>
      <c r="J16">
        <v>50226</v>
      </c>
      <c r="K16" s="2" t="s">
        <v>588</v>
      </c>
      <c r="L16" s="2" t="s">
        <v>423</v>
      </c>
      <c r="M16" s="2" t="s">
        <v>438</v>
      </c>
      <c r="N16" s="2" t="s">
        <v>459</v>
      </c>
      <c r="Q16" s="5">
        <f t="shared" si="1"/>
        <v>44863.708333333336</v>
      </c>
      <c r="R16" t="s">
        <v>12</v>
      </c>
      <c r="S16">
        <v>18</v>
      </c>
      <c r="T16" t="s">
        <v>29</v>
      </c>
      <c r="U16">
        <v>102</v>
      </c>
      <c r="V16" t="s">
        <v>38</v>
      </c>
      <c r="W16" t="s">
        <v>39</v>
      </c>
      <c r="X16">
        <v>38.676241470000001</v>
      </c>
      <c r="Y16">
        <v>16.10157414</v>
      </c>
      <c r="Z16">
        <f t="shared" si="0"/>
        <v>50226</v>
      </c>
    </row>
    <row r="17" spans="1:27">
      <c r="A17" s="1">
        <v>44863.708333333336</v>
      </c>
      <c r="B17" s="2" t="s">
        <v>12</v>
      </c>
      <c r="C17">
        <v>18</v>
      </c>
      <c r="D17" s="2" t="s">
        <v>29</v>
      </c>
      <c r="E17">
        <v>882</v>
      </c>
      <c r="F17" s="2" t="s">
        <v>22</v>
      </c>
      <c r="G17" s="2" t="s">
        <v>588</v>
      </c>
      <c r="J17">
        <v>7136</v>
      </c>
      <c r="K17" s="2" t="s">
        <v>588</v>
      </c>
      <c r="L17" s="2" t="s">
        <v>423</v>
      </c>
      <c r="M17" s="2" t="s">
        <v>438</v>
      </c>
      <c r="N17" s="2" t="s">
        <v>588</v>
      </c>
      <c r="Q17" s="5">
        <f t="shared" si="1"/>
        <v>44863.708333333336</v>
      </c>
      <c r="R17" t="s">
        <v>12</v>
      </c>
      <c r="S17">
        <v>18</v>
      </c>
      <c r="T17" t="s">
        <v>29</v>
      </c>
      <c r="U17">
        <v>982</v>
      </c>
      <c r="V17" t="s">
        <v>264</v>
      </c>
      <c r="X17">
        <v>0</v>
      </c>
      <c r="Y17">
        <v>0</v>
      </c>
      <c r="Z17">
        <f t="shared" si="0"/>
        <v>0</v>
      </c>
      <c r="AA17">
        <f>SUMIFS(J:J,F:F,"Fuori Regione / Provincia Autonoma",D:D,T17)</f>
        <v>7136</v>
      </c>
    </row>
    <row r="18" spans="1:27">
      <c r="A18" s="1">
        <v>44863.708333333336</v>
      </c>
      <c r="B18" s="2" t="s">
        <v>12</v>
      </c>
      <c r="C18">
        <v>18</v>
      </c>
      <c r="D18" s="2" t="s">
        <v>29</v>
      </c>
      <c r="E18">
        <v>982</v>
      </c>
      <c r="F18" s="2" t="s">
        <v>23</v>
      </c>
      <c r="G18" s="2" t="s">
        <v>588</v>
      </c>
      <c r="J18">
        <v>0</v>
      </c>
      <c r="K18" s="2" t="s">
        <v>588</v>
      </c>
      <c r="L18" s="2" t="s">
        <v>423</v>
      </c>
      <c r="M18" s="2" t="s">
        <v>438</v>
      </c>
      <c r="N18" s="2" t="s">
        <v>588</v>
      </c>
      <c r="Q18" s="5">
        <f t="shared" si="1"/>
        <v>44863.708333333336</v>
      </c>
      <c r="R18" t="s">
        <v>12</v>
      </c>
      <c r="S18">
        <v>15</v>
      </c>
      <c r="T18" t="s">
        <v>40</v>
      </c>
      <c r="U18">
        <v>64</v>
      </c>
      <c r="V18" t="s">
        <v>47</v>
      </c>
      <c r="W18" t="s">
        <v>48</v>
      </c>
      <c r="X18">
        <v>40.914046990000003</v>
      </c>
      <c r="Y18">
        <v>14.79528803</v>
      </c>
      <c r="Z18">
        <f t="shared" si="0"/>
        <v>151883</v>
      </c>
    </row>
    <row r="19" spans="1:27">
      <c r="A19" s="1">
        <v>44863.708333333336</v>
      </c>
      <c r="B19" s="2" t="s">
        <v>12</v>
      </c>
      <c r="C19">
        <v>15</v>
      </c>
      <c r="D19" s="2" t="s">
        <v>40</v>
      </c>
      <c r="E19">
        <v>61</v>
      </c>
      <c r="F19" s="2" t="s">
        <v>41</v>
      </c>
      <c r="G19" s="2" t="s">
        <v>42</v>
      </c>
      <c r="H19">
        <v>4107465878</v>
      </c>
      <c r="I19">
        <v>1433240464</v>
      </c>
      <c r="J19">
        <v>355477</v>
      </c>
      <c r="K19" s="2" t="s">
        <v>588</v>
      </c>
      <c r="L19" s="2" t="s">
        <v>423</v>
      </c>
      <c r="M19" s="2" t="s">
        <v>426</v>
      </c>
      <c r="N19" s="2" t="s">
        <v>460</v>
      </c>
      <c r="Q19" s="5">
        <f t="shared" si="1"/>
        <v>44863.708333333336</v>
      </c>
      <c r="R19" t="s">
        <v>12</v>
      </c>
      <c r="S19">
        <v>15</v>
      </c>
      <c r="T19" t="s">
        <v>40</v>
      </c>
      <c r="U19">
        <v>62</v>
      </c>
      <c r="V19" t="s">
        <v>43</v>
      </c>
      <c r="W19" t="s">
        <v>44</v>
      </c>
      <c r="X19">
        <v>41.129699870000003</v>
      </c>
      <c r="Y19">
        <v>14.781516829999999</v>
      </c>
      <c r="Z19">
        <f t="shared" si="0"/>
        <v>95167</v>
      </c>
    </row>
    <row r="20" spans="1:27">
      <c r="A20" s="1">
        <v>44863.708333333336</v>
      </c>
      <c r="B20" s="2" t="s">
        <v>12</v>
      </c>
      <c r="C20">
        <v>15</v>
      </c>
      <c r="D20" s="2" t="s">
        <v>40</v>
      </c>
      <c r="E20">
        <v>62</v>
      </c>
      <c r="F20" s="2" t="s">
        <v>43</v>
      </c>
      <c r="G20" s="2" t="s">
        <v>44</v>
      </c>
      <c r="H20">
        <v>4112969987</v>
      </c>
      <c r="I20">
        <v>1478151683</v>
      </c>
      <c r="J20">
        <v>95167</v>
      </c>
      <c r="K20" s="2" t="s">
        <v>588</v>
      </c>
      <c r="L20" s="2" t="s">
        <v>423</v>
      </c>
      <c r="M20" s="2" t="s">
        <v>426</v>
      </c>
      <c r="N20" s="2" t="s">
        <v>461</v>
      </c>
      <c r="Q20" s="5">
        <f t="shared" si="1"/>
        <v>44863.708333333336</v>
      </c>
      <c r="R20" t="s">
        <v>12</v>
      </c>
      <c r="S20">
        <v>15</v>
      </c>
      <c r="T20" t="s">
        <v>40</v>
      </c>
      <c r="U20">
        <v>61</v>
      </c>
      <c r="V20" t="s">
        <v>41</v>
      </c>
      <c r="W20" t="s">
        <v>42</v>
      </c>
      <c r="X20">
        <v>41.07465878</v>
      </c>
      <c r="Y20">
        <v>14.33240464</v>
      </c>
      <c r="Z20">
        <f t="shared" si="0"/>
        <v>355477</v>
      </c>
    </row>
    <row r="21" spans="1:27">
      <c r="A21" s="1">
        <v>44863.708333333336</v>
      </c>
      <c r="B21" s="2" t="s">
        <v>12</v>
      </c>
      <c r="C21">
        <v>15</v>
      </c>
      <c r="D21" s="2" t="s">
        <v>40</v>
      </c>
      <c r="E21">
        <v>63</v>
      </c>
      <c r="F21" s="2" t="s">
        <v>45</v>
      </c>
      <c r="G21" s="2" t="s">
        <v>46</v>
      </c>
      <c r="H21">
        <v>4083956555</v>
      </c>
      <c r="I21">
        <v>1425084984</v>
      </c>
      <c r="J21">
        <v>1218451</v>
      </c>
      <c r="K21" s="2" t="s">
        <v>588</v>
      </c>
      <c r="L21" s="2" t="s">
        <v>423</v>
      </c>
      <c r="M21" s="2" t="s">
        <v>426</v>
      </c>
      <c r="N21" s="2" t="s">
        <v>462</v>
      </c>
      <c r="Q21" s="5">
        <f t="shared" si="1"/>
        <v>44863.708333333336</v>
      </c>
      <c r="R21" t="s">
        <v>12</v>
      </c>
      <c r="S21">
        <v>15</v>
      </c>
      <c r="T21" t="s">
        <v>40</v>
      </c>
      <c r="U21">
        <v>63</v>
      </c>
      <c r="V21" t="s">
        <v>45</v>
      </c>
      <c r="W21" t="s">
        <v>46</v>
      </c>
      <c r="X21">
        <v>40.839565550000003</v>
      </c>
      <c r="Y21">
        <v>14.250849840000001</v>
      </c>
      <c r="Z21">
        <f t="shared" si="0"/>
        <v>1218451</v>
      </c>
    </row>
    <row r="22" spans="1:27">
      <c r="A22" s="1">
        <v>44863.708333333336</v>
      </c>
      <c r="B22" s="2" t="s">
        <v>12</v>
      </c>
      <c r="C22">
        <v>15</v>
      </c>
      <c r="D22" s="2" t="s">
        <v>40</v>
      </c>
      <c r="E22">
        <v>64</v>
      </c>
      <c r="F22" s="2" t="s">
        <v>47</v>
      </c>
      <c r="G22" s="2" t="s">
        <v>48</v>
      </c>
      <c r="H22">
        <v>4091404699</v>
      </c>
      <c r="I22">
        <v>1479528803</v>
      </c>
      <c r="J22">
        <v>151883</v>
      </c>
      <c r="K22" s="2" t="s">
        <v>588</v>
      </c>
      <c r="L22" s="2" t="s">
        <v>423</v>
      </c>
      <c r="M22" s="2" t="s">
        <v>426</v>
      </c>
      <c r="N22" s="2" t="s">
        <v>463</v>
      </c>
      <c r="Q22" s="5">
        <f t="shared" si="1"/>
        <v>44863.708333333336</v>
      </c>
      <c r="R22" t="s">
        <v>12</v>
      </c>
      <c r="S22">
        <v>15</v>
      </c>
      <c r="T22" t="s">
        <v>40</v>
      </c>
      <c r="U22">
        <v>65</v>
      </c>
      <c r="V22" t="s">
        <v>49</v>
      </c>
      <c r="W22" t="s">
        <v>50</v>
      </c>
      <c r="X22">
        <v>40.678219609999999</v>
      </c>
      <c r="Y22">
        <v>14.7594025999999</v>
      </c>
      <c r="Z22">
        <f t="shared" si="0"/>
        <v>430717</v>
      </c>
    </row>
    <row r="23" spans="1:27">
      <c r="A23" s="1">
        <v>44863.708333333336</v>
      </c>
      <c r="B23" s="2" t="s">
        <v>12</v>
      </c>
      <c r="C23">
        <v>15</v>
      </c>
      <c r="D23" s="2" t="s">
        <v>40</v>
      </c>
      <c r="E23">
        <v>65</v>
      </c>
      <c r="F23" s="2" t="s">
        <v>49</v>
      </c>
      <c r="G23" s="2" t="s">
        <v>50</v>
      </c>
      <c r="H23">
        <v>4067821961</v>
      </c>
      <c r="I23">
        <v>147594026</v>
      </c>
      <c r="J23">
        <v>430717</v>
      </c>
      <c r="K23" s="2" t="s">
        <v>588</v>
      </c>
      <c r="L23" s="2" t="s">
        <v>423</v>
      </c>
      <c r="M23" s="2" t="s">
        <v>426</v>
      </c>
      <c r="N23" s="2" t="s">
        <v>464</v>
      </c>
      <c r="Q23" s="5">
        <f t="shared" si="1"/>
        <v>44863.708333333336</v>
      </c>
      <c r="R23" t="s">
        <v>12</v>
      </c>
      <c r="S23">
        <v>15</v>
      </c>
      <c r="T23" t="s">
        <v>40</v>
      </c>
      <c r="U23">
        <v>983</v>
      </c>
      <c r="V23" t="s">
        <v>264</v>
      </c>
      <c r="X23">
        <v>0</v>
      </c>
      <c r="Y23">
        <v>0</v>
      </c>
      <c r="Z23">
        <f t="shared" si="0"/>
        <v>0</v>
      </c>
      <c r="AA23">
        <f>SUMIFS(J:J,F:F,"Fuori Regione / Provincia Autonoma",D:D,T23)</f>
        <v>15856</v>
      </c>
    </row>
    <row r="24" spans="1:27">
      <c r="A24" s="1">
        <v>44863.708333333336</v>
      </c>
      <c r="B24" s="2" t="s">
        <v>12</v>
      </c>
      <c r="C24">
        <v>15</v>
      </c>
      <c r="D24" s="2" t="s">
        <v>40</v>
      </c>
      <c r="E24">
        <v>883</v>
      </c>
      <c r="F24" s="2" t="s">
        <v>22</v>
      </c>
      <c r="G24" s="2" t="s">
        <v>588</v>
      </c>
      <c r="J24">
        <v>15856</v>
      </c>
      <c r="K24" s="2" t="s">
        <v>588</v>
      </c>
      <c r="L24" s="2" t="s">
        <v>423</v>
      </c>
      <c r="M24" s="2" t="s">
        <v>426</v>
      </c>
      <c r="N24" s="2" t="s">
        <v>588</v>
      </c>
      <c r="Q24" s="5">
        <f t="shared" si="1"/>
        <v>44863.708333333336</v>
      </c>
      <c r="R24" t="s">
        <v>12</v>
      </c>
      <c r="S24">
        <v>8</v>
      </c>
      <c r="T24" t="s">
        <v>51</v>
      </c>
      <c r="U24">
        <v>37</v>
      </c>
      <c r="V24" t="s">
        <v>60</v>
      </c>
      <c r="W24" t="s">
        <v>61</v>
      </c>
      <c r="X24">
        <v>44.494366810000002</v>
      </c>
      <c r="Y24">
        <v>11.341720799999999</v>
      </c>
      <c r="Z24">
        <f t="shared" si="0"/>
        <v>443562</v>
      </c>
    </row>
    <row r="25" spans="1:27">
      <c r="A25" s="1">
        <v>44863.708333333336</v>
      </c>
      <c r="B25" s="2" t="s">
        <v>12</v>
      </c>
      <c r="C25">
        <v>15</v>
      </c>
      <c r="D25" s="2" t="s">
        <v>40</v>
      </c>
      <c r="E25">
        <v>983</v>
      </c>
      <c r="F25" s="2" t="s">
        <v>23</v>
      </c>
      <c r="G25" s="2" t="s">
        <v>588</v>
      </c>
      <c r="J25">
        <v>24340</v>
      </c>
      <c r="K25" s="2" t="s">
        <v>588</v>
      </c>
      <c r="L25" s="2" t="s">
        <v>423</v>
      </c>
      <c r="M25" s="2" t="s">
        <v>426</v>
      </c>
      <c r="N25" s="2" t="s">
        <v>588</v>
      </c>
      <c r="Q25" s="5">
        <f t="shared" si="1"/>
        <v>44863.708333333336</v>
      </c>
      <c r="R25" t="s">
        <v>12</v>
      </c>
      <c r="S25">
        <v>8</v>
      </c>
      <c r="T25" t="s">
        <v>51</v>
      </c>
      <c r="U25">
        <v>38</v>
      </c>
      <c r="V25" t="s">
        <v>62</v>
      </c>
      <c r="W25" t="s">
        <v>63</v>
      </c>
      <c r="X25">
        <v>44.835990850000002</v>
      </c>
      <c r="Y25">
        <v>11.61868934</v>
      </c>
      <c r="Z25">
        <f t="shared" si="0"/>
        <v>139528</v>
      </c>
    </row>
    <row r="26" spans="1:27">
      <c r="A26" s="1">
        <v>44863.708333333336</v>
      </c>
      <c r="B26" s="2" t="s">
        <v>12</v>
      </c>
      <c r="C26">
        <v>8</v>
      </c>
      <c r="D26" s="2" t="s">
        <v>51</v>
      </c>
      <c r="E26">
        <v>33</v>
      </c>
      <c r="F26" s="2" t="s">
        <v>52</v>
      </c>
      <c r="G26" s="2" t="s">
        <v>53</v>
      </c>
      <c r="H26">
        <v>4505193462</v>
      </c>
      <c r="I26">
        <v>9692632596</v>
      </c>
      <c r="J26">
        <v>100262</v>
      </c>
      <c r="K26" s="2" t="s">
        <v>588</v>
      </c>
      <c r="L26" s="2" t="s">
        <v>427</v>
      </c>
      <c r="M26" s="2" t="s">
        <v>428</v>
      </c>
      <c r="N26" s="2" t="s">
        <v>465</v>
      </c>
      <c r="Q26" s="5">
        <f t="shared" si="1"/>
        <v>44863.708333333336</v>
      </c>
      <c r="R26" t="s">
        <v>12</v>
      </c>
      <c r="S26">
        <v>8</v>
      </c>
      <c r="T26" t="s">
        <v>51</v>
      </c>
      <c r="U26">
        <v>40</v>
      </c>
      <c r="V26" t="s">
        <v>66</v>
      </c>
      <c r="W26" t="s">
        <v>67</v>
      </c>
      <c r="X26">
        <v>44.222685589999998</v>
      </c>
      <c r="Y26">
        <v>12.04068608</v>
      </c>
      <c r="Z26">
        <f t="shared" si="0"/>
        <v>195989</v>
      </c>
    </row>
    <row r="27" spans="1:27">
      <c r="A27" s="1">
        <v>44863.708333333336</v>
      </c>
      <c r="B27" s="2" t="s">
        <v>12</v>
      </c>
      <c r="C27">
        <v>8</v>
      </c>
      <c r="D27" s="2" t="s">
        <v>51</v>
      </c>
      <c r="E27">
        <v>34</v>
      </c>
      <c r="F27" s="2" t="s">
        <v>54</v>
      </c>
      <c r="G27" s="2" t="s">
        <v>55</v>
      </c>
      <c r="H27">
        <v>4480107394</v>
      </c>
      <c r="I27">
        <v>1032834985</v>
      </c>
      <c r="J27">
        <v>161915</v>
      </c>
      <c r="K27" s="2" t="s">
        <v>588</v>
      </c>
      <c r="L27" s="2" t="s">
        <v>427</v>
      </c>
      <c r="M27" s="2" t="s">
        <v>428</v>
      </c>
      <c r="N27" s="2" t="s">
        <v>466</v>
      </c>
      <c r="Q27" s="5">
        <f t="shared" si="1"/>
        <v>44863.708333333336</v>
      </c>
      <c r="R27" t="s">
        <v>12</v>
      </c>
      <c r="S27">
        <v>8</v>
      </c>
      <c r="T27" t="s">
        <v>51</v>
      </c>
      <c r="U27">
        <v>36</v>
      </c>
      <c r="V27" t="s">
        <v>58</v>
      </c>
      <c r="W27" t="s">
        <v>59</v>
      </c>
      <c r="X27">
        <v>44.646000090000001</v>
      </c>
      <c r="Y27">
        <v>10.92615487</v>
      </c>
      <c r="Z27">
        <f t="shared" si="0"/>
        <v>289125</v>
      </c>
    </row>
    <row r="28" spans="1:27">
      <c r="A28" s="1">
        <v>44863.708333333336</v>
      </c>
      <c r="B28" s="2" t="s">
        <v>12</v>
      </c>
      <c r="C28">
        <v>8</v>
      </c>
      <c r="D28" s="2" t="s">
        <v>51</v>
      </c>
      <c r="E28">
        <v>35</v>
      </c>
      <c r="F28" s="2" t="s">
        <v>56</v>
      </c>
      <c r="G28" s="2" t="s">
        <v>57</v>
      </c>
      <c r="H28">
        <v>4469735289</v>
      </c>
      <c r="I28">
        <v>1063007973</v>
      </c>
      <c r="J28">
        <v>224636</v>
      </c>
      <c r="K28" s="2" t="s">
        <v>588</v>
      </c>
      <c r="L28" s="2" t="s">
        <v>427</v>
      </c>
      <c r="M28" s="2" t="s">
        <v>428</v>
      </c>
      <c r="N28" s="2" t="s">
        <v>467</v>
      </c>
      <c r="Q28" s="5">
        <f t="shared" si="1"/>
        <v>44863.708333333336</v>
      </c>
      <c r="R28" t="s">
        <v>12</v>
      </c>
      <c r="S28">
        <v>8</v>
      </c>
      <c r="T28" t="s">
        <v>51</v>
      </c>
      <c r="U28">
        <v>34</v>
      </c>
      <c r="V28" t="s">
        <v>54</v>
      </c>
      <c r="W28" t="s">
        <v>55</v>
      </c>
      <c r="X28">
        <v>44.801073940000002</v>
      </c>
      <c r="Y28">
        <v>10.32834985</v>
      </c>
      <c r="Z28">
        <f t="shared" si="0"/>
        <v>161915</v>
      </c>
    </row>
    <row r="29" spans="1:27">
      <c r="A29" s="1">
        <v>44863.708333333336</v>
      </c>
      <c r="B29" s="2" t="s">
        <v>12</v>
      </c>
      <c r="C29">
        <v>8</v>
      </c>
      <c r="D29" s="2" t="s">
        <v>51</v>
      </c>
      <c r="E29">
        <v>36</v>
      </c>
      <c r="F29" s="2" t="s">
        <v>58</v>
      </c>
      <c r="G29" s="2" t="s">
        <v>59</v>
      </c>
      <c r="H29">
        <v>4464600009</v>
      </c>
      <c r="I29">
        <v>1092615487</v>
      </c>
      <c r="J29">
        <v>289125</v>
      </c>
      <c r="K29" s="2" t="s">
        <v>588</v>
      </c>
      <c r="L29" s="2" t="s">
        <v>427</v>
      </c>
      <c r="M29" s="2" t="s">
        <v>428</v>
      </c>
      <c r="N29" s="2" t="s">
        <v>468</v>
      </c>
      <c r="Q29" s="5">
        <f t="shared" si="1"/>
        <v>44863.708333333336</v>
      </c>
      <c r="R29" t="s">
        <v>12</v>
      </c>
      <c r="S29">
        <v>8</v>
      </c>
      <c r="T29" t="s">
        <v>51</v>
      </c>
      <c r="U29">
        <v>33</v>
      </c>
      <c r="V29" t="s">
        <v>52</v>
      </c>
      <c r="W29" t="s">
        <v>53</v>
      </c>
      <c r="X29">
        <v>45.051934619999997</v>
      </c>
      <c r="Y29">
        <v>9.6926325959999993</v>
      </c>
      <c r="Z29">
        <f t="shared" si="0"/>
        <v>100262</v>
      </c>
    </row>
    <row r="30" spans="1:27">
      <c r="A30" s="1">
        <v>44863.708333333336</v>
      </c>
      <c r="B30" s="2" t="s">
        <v>12</v>
      </c>
      <c r="C30">
        <v>8</v>
      </c>
      <c r="D30" s="2" t="s">
        <v>51</v>
      </c>
      <c r="E30">
        <v>37</v>
      </c>
      <c r="F30" s="2" t="s">
        <v>60</v>
      </c>
      <c r="G30" s="2" t="s">
        <v>61</v>
      </c>
      <c r="H30">
        <v>4449436681</v>
      </c>
      <c r="I30">
        <v>113417208</v>
      </c>
      <c r="J30">
        <v>443562</v>
      </c>
      <c r="K30" s="2" t="s">
        <v>588</v>
      </c>
      <c r="L30" s="2" t="s">
        <v>427</v>
      </c>
      <c r="M30" s="2" t="s">
        <v>428</v>
      </c>
      <c r="N30" s="2" t="s">
        <v>469</v>
      </c>
      <c r="Q30" s="5">
        <f t="shared" si="1"/>
        <v>44863.708333333336</v>
      </c>
      <c r="R30" t="s">
        <v>12</v>
      </c>
      <c r="S30">
        <v>8</v>
      </c>
      <c r="T30" t="s">
        <v>51</v>
      </c>
      <c r="U30">
        <v>39</v>
      </c>
      <c r="V30" t="s">
        <v>64</v>
      </c>
      <c r="W30" t="s">
        <v>65</v>
      </c>
      <c r="X30">
        <v>44.417224930000003</v>
      </c>
      <c r="Y30">
        <v>12.19913936</v>
      </c>
      <c r="Z30">
        <f t="shared" si="0"/>
        <v>184488</v>
      </c>
    </row>
    <row r="31" spans="1:27">
      <c r="A31" s="1">
        <v>44863.708333333336</v>
      </c>
      <c r="B31" s="2" t="s">
        <v>12</v>
      </c>
      <c r="C31">
        <v>8</v>
      </c>
      <c r="D31" s="2" t="s">
        <v>51</v>
      </c>
      <c r="E31">
        <v>38</v>
      </c>
      <c r="F31" s="2" t="s">
        <v>62</v>
      </c>
      <c r="G31" s="2" t="s">
        <v>63</v>
      </c>
      <c r="H31">
        <v>4483599085</v>
      </c>
      <c r="I31">
        <v>1161868934</v>
      </c>
      <c r="J31">
        <v>139528</v>
      </c>
      <c r="K31" s="2" t="s">
        <v>588</v>
      </c>
      <c r="L31" s="2" t="s">
        <v>427</v>
      </c>
      <c r="M31" s="2" t="s">
        <v>428</v>
      </c>
      <c r="N31" s="2" t="s">
        <v>470</v>
      </c>
      <c r="Q31" s="5">
        <f t="shared" si="1"/>
        <v>44863.708333333336</v>
      </c>
      <c r="R31" t="s">
        <v>12</v>
      </c>
      <c r="S31">
        <v>8</v>
      </c>
      <c r="T31" t="s">
        <v>51</v>
      </c>
      <c r="U31">
        <v>35</v>
      </c>
      <c r="V31" t="s">
        <v>56</v>
      </c>
      <c r="W31" t="s">
        <v>57</v>
      </c>
      <c r="X31">
        <v>44.697352889999998</v>
      </c>
      <c r="Y31">
        <v>10.63007973</v>
      </c>
      <c r="Z31">
        <f t="shared" si="0"/>
        <v>224636</v>
      </c>
    </row>
    <row r="32" spans="1:27">
      <c r="A32" s="1">
        <v>44863.708333333336</v>
      </c>
      <c r="B32" s="2" t="s">
        <v>12</v>
      </c>
      <c r="C32">
        <v>8</v>
      </c>
      <c r="D32" s="2" t="s">
        <v>51</v>
      </c>
      <c r="E32">
        <v>39</v>
      </c>
      <c r="F32" s="2" t="s">
        <v>64</v>
      </c>
      <c r="G32" s="2" t="s">
        <v>65</v>
      </c>
      <c r="H32">
        <v>4441722493</v>
      </c>
      <c r="I32">
        <v>1219913936</v>
      </c>
      <c r="J32">
        <v>184488</v>
      </c>
      <c r="K32" s="2" t="s">
        <v>588</v>
      </c>
      <c r="L32" s="2" t="s">
        <v>427</v>
      </c>
      <c r="M32" s="2" t="s">
        <v>428</v>
      </c>
      <c r="N32" s="2" t="s">
        <v>471</v>
      </c>
      <c r="Q32" s="5">
        <f t="shared" si="1"/>
        <v>44863.708333333336</v>
      </c>
      <c r="R32" t="s">
        <v>12</v>
      </c>
      <c r="S32">
        <v>8</v>
      </c>
      <c r="T32" t="s">
        <v>51</v>
      </c>
      <c r="U32">
        <v>99</v>
      </c>
      <c r="V32" t="s">
        <v>68</v>
      </c>
      <c r="W32" t="s">
        <v>69</v>
      </c>
      <c r="X32">
        <v>44.060900869999998</v>
      </c>
      <c r="Y32">
        <v>12.5656295</v>
      </c>
      <c r="Z32">
        <f t="shared" si="0"/>
        <v>176259</v>
      </c>
    </row>
    <row r="33" spans="1:27">
      <c r="A33" s="1">
        <v>44863.708333333336</v>
      </c>
      <c r="B33" s="2" t="s">
        <v>12</v>
      </c>
      <c r="C33">
        <v>8</v>
      </c>
      <c r="D33" s="2" t="s">
        <v>51</v>
      </c>
      <c r="E33">
        <v>40</v>
      </c>
      <c r="F33" s="2" t="s">
        <v>66</v>
      </c>
      <c r="G33" s="2" t="s">
        <v>67</v>
      </c>
      <c r="H33">
        <v>4422268559</v>
      </c>
      <c r="I33">
        <v>1204068608</v>
      </c>
      <c r="J33">
        <v>195989</v>
      </c>
      <c r="K33" s="2" t="s">
        <v>588</v>
      </c>
      <c r="L33" s="2" t="s">
        <v>427</v>
      </c>
      <c r="M33" s="2" t="s">
        <v>428</v>
      </c>
      <c r="N33" s="2" t="s">
        <v>472</v>
      </c>
      <c r="Q33" s="5">
        <f t="shared" si="1"/>
        <v>44863.708333333336</v>
      </c>
      <c r="R33" t="s">
        <v>12</v>
      </c>
      <c r="S33">
        <v>8</v>
      </c>
      <c r="T33" t="s">
        <v>51</v>
      </c>
      <c r="U33">
        <v>984</v>
      </c>
      <c r="V33" t="s">
        <v>264</v>
      </c>
      <c r="X33">
        <v>0</v>
      </c>
      <c r="Y33">
        <v>0</v>
      </c>
      <c r="Z33">
        <f t="shared" si="0"/>
        <v>0</v>
      </c>
      <c r="AA33">
        <f>SUMIFS(J:J,F:F,"Fuori Regione / Provincia Autonoma",D:D,T33)</f>
        <v>12101</v>
      </c>
    </row>
    <row r="34" spans="1:27">
      <c r="A34" s="1">
        <v>44863.708333333336</v>
      </c>
      <c r="B34" s="2" t="s">
        <v>12</v>
      </c>
      <c r="C34">
        <v>8</v>
      </c>
      <c r="D34" s="2" t="s">
        <v>51</v>
      </c>
      <c r="E34">
        <v>99</v>
      </c>
      <c r="F34" s="2" t="s">
        <v>68</v>
      </c>
      <c r="G34" s="2" t="s">
        <v>69</v>
      </c>
      <c r="H34">
        <v>4406090087</v>
      </c>
      <c r="I34">
        <v>125656295</v>
      </c>
      <c r="J34">
        <v>176259</v>
      </c>
      <c r="K34" s="2" t="s">
        <v>588</v>
      </c>
      <c r="L34" s="2" t="s">
        <v>427</v>
      </c>
      <c r="M34" s="2" t="s">
        <v>428</v>
      </c>
      <c r="N34" s="2" t="s">
        <v>473</v>
      </c>
      <c r="Q34" s="5">
        <f t="shared" si="1"/>
        <v>44863.708333333336</v>
      </c>
      <c r="R34" t="s">
        <v>12</v>
      </c>
      <c r="S34">
        <v>6</v>
      </c>
      <c r="T34" t="s">
        <v>70</v>
      </c>
      <c r="U34">
        <v>31</v>
      </c>
      <c r="V34" t="s">
        <v>73</v>
      </c>
      <c r="W34" t="s">
        <v>74</v>
      </c>
      <c r="X34">
        <v>45.941498170000003</v>
      </c>
      <c r="Y34">
        <v>13.62212502</v>
      </c>
      <c r="Z34">
        <f t="shared" si="0"/>
        <v>57731</v>
      </c>
    </row>
    <row r="35" spans="1:27">
      <c r="A35" s="1">
        <v>44863.708333333336</v>
      </c>
      <c r="B35" s="2" t="s">
        <v>12</v>
      </c>
      <c r="C35">
        <v>8</v>
      </c>
      <c r="D35" s="2" t="s">
        <v>51</v>
      </c>
      <c r="E35">
        <v>884</v>
      </c>
      <c r="F35" s="2" t="s">
        <v>22</v>
      </c>
      <c r="G35" s="2" t="s">
        <v>588</v>
      </c>
      <c r="J35">
        <v>12101</v>
      </c>
      <c r="K35" s="2" t="s">
        <v>588</v>
      </c>
      <c r="L35" s="2" t="s">
        <v>427</v>
      </c>
      <c r="M35" s="2" t="s">
        <v>428</v>
      </c>
      <c r="N35" s="2" t="s">
        <v>588</v>
      </c>
      <c r="Q35" s="5">
        <f t="shared" si="1"/>
        <v>44863.708333333336</v>
      </c>
      <c r="R35" t="s">
        <v>12</v>
      </c>
      <c r="S35">
        <v>6</v>
      </c>
      <c r="T35" t="s">
        <v>70</v>
      </c>
      <c r="U35">
        <v>93</v>
      </c>
      <c r="V35" t="s">
        <v>77</v>
      </c>
      <c r="W35" t="s">
        <v>78</v>
      </c>
      <c r="X35">
        <v>45.954435459999999</v>
      </c>
      <c r="Y35">
        <v>12.66002909</v>
      </c>
      <c r="Z35">
        <f t="shared" si="0"/>
        <v>126212</v>
      </c>
    </row>
    <row r="36" spans="1:27">
      <c r="A36" s="1">
        <v>44863.708333333336</v>
      </c>
      <c r="B36" s="2" t="s">
        <v>12</v>
      </c>
      <c r="C36">
        <v>8</v>
      </c>
      <c r="D36" s="2" t="s">
        <v>51</v>
      </c>
      <c r="E36">
        <v>984</v>
      </c>
      <c r="F36" s="2" t="s">
        <v>23</v>
      </c>
      <c r="G36" s="2" t="s">
        <v>588</v>
      </c>
      <c r="J36">
        <v>29633</v>
      </c>
      <c r="K36" s="2" t="s">
        <v>588</v>
      </c>
      <c r="L36" s="2" t="s">
        <v>427</v>
      </c>
      <c r="M36" s="2" t="s">
        <v>428</v>
      </c>
      <c r="N36" s="2" t="s">
        <v>588</v>
      </c>
      <c r="Q36" s="5">
        <f t="shared" si="1"/>
        <v>44863.708333333336</v>
      </c>
      <c r="R36" t="s">
        <v>12</v>
      </c>
      <c r="S36">
        <v>6</v>
      </c>
      <c r="T36" t="s">
        <v>70</v>
      </c>
      <c r="U36">
        <v>32</v>
      </c>
      <c r="V36" t="s">
        <v>75</v>
      </c>
      <c r="W36" t="s">
        <v>76</v>
      </c>
      <c r="X36">
        <v>45.649435400000002</v>
      </c>
      <c r="Y36">
        <v>13.76813649</v>
      </c>
      <c r="Z36">
        <f t="shared" si="0"/>
        <v>108873</v>
      </c>
    </row>
    <row r="37" spans="1:27">
      <c r="A37" s="1">
        <v>44863.708333333336</v>
      </c>
      <c r="B37" s="2" t="s">
        <v>12</v>
      </c>
      <c r="C37">
        <v>6</v>
      </c>
      <c r="D37" s="2" t="s">
        <v>70</v>
      </c>
      <c r="E37">
        <v>30</v>
      </c>
      <c r="F37" s="2" t="s">
        <v>71</v>
      </c>
      <c r="G37" s="2" t="s">
        <v>72</v>
      </c>
      <c r="H37">
        <v>4606255516</v>
      </c>
      <c r="I37">
        <v>132348383</v>
      </c>
      <c r="J37">
        <v>224199</v>
      </c>
      <c r="K37" s="2" t="s">
        <v>588</v>
      </c>
      <c r="L37" s="2" t="s">
        <v>427</v>
      </c>
      <c r="M37" s="2" t="s">
        <v>429</v>
      </c>
      <c r="N37" s="2" t="s">
        <v>474</v>
      </c>
      <c r="Q37" s="5">
        <f t="shared" si="1"/>
        <v>44863.708333333336</v>
      </c>
      <c r="R37" t="s">
        <v>12</v>
      </c>
      <c r="S37">
        <v>6</v>
      </c>
      <c r="T37" t="s">
        <v>70</v>
      </c>
      <c r="U37">
        <v>30</v>
      </c>
      <c r="V37" t="s">
        <v>71</v>
      </c>
      <c r="W37" t="s">
        <v>72</v>
      </c>
      <c r="X37">
        <v>46.062555160000002</v>
      </c>
      <c r="Y37">
        <v>13.2348383</v>
      </c>
      <c r="Z37">
        <f t="shared" si="0"/>
        <v>224199</v>
      </c>
    </row>
    <row r="38" spans="1:27">
      <c r="A38" s="1">
        <v>44863.708333333336</v>
      </c>
      <c r="B38" s="2" t="s">
        <v>12</v>
      </c>
      <c r="C38">
        <v>6</v>
      </c>
      <c r="D38" s="2" t="s">
        <v>70</v>
      </c>
      <c r="E38">
        <v>31</v>
      </c>
      <c r="F38" s="2" t="s">
        <v>73</v>
      </c>
      <c r="G38" s="2" t="s">
        <v>74</v>
      </c>
      <c r="H38">
        <v>4594149817</v>
      </c>
      <c r="I38">
        <v>1362212502</v>
      </c>
      <c r="J38">
        <v>57731</v>
      </c>
      <c r="K38" s="2" t="s">
        <v>588</v>
      </c>
      <c r="L38" s="2" t="s">
        <v>427</v>
      </c>
      <c r="M38" s="2" t="s">
        <v>429</v>
      </c>
      <c r="N38" s="2" t="s">
        <v>475</v>
      </c>
      <c r="Q38" s="5">
        <f t="shared" si="1"/>
        <v>44863.708333333336</v>
      </c>
      <c r="R38" t="s">
        <v>12</v>
      </c>
      <c r="S38">
        <v>6</v>
      </c>
      <c r="T38" t="s">
        <v>70</v>
      </c>
      <c r="U38">
        <v>985</v>
      </c>
      <c r="V38" t="s">
        <v>264</v>
      </c>
      <c r="X38">
        <v>0</v>
      </c>
      <c r="Y38">
        <v>0</v>
      </c>
      <c r="Z38">
        <f t="shared" si="0"/>
        <v>0</v>
      </c>
      <c r="AA38">
        <f>SUMIFS(J:J,F:F,"Fuori Regione / Provincia Autonoma",D:D,T38)</f>
        <v>8023</v>
      </c>
    </row>
    <row r="39" spans="1:27">
      <c r="A39" s="1">
        <v>44863.708333333336</v>
      </c>
      <c r="B39" s="2" t="s">
        <v>12</v>
      </c>
      <c r="C39">
        <v>6</v>
      </c>
      <c r="D39" s="2" t="s">
        <v>70</v>
      </c>
      <c r="E39">
        <v>32</v>
      </c>
      <c r="F39" s="2" t="s">
        <v>75</v>
      </c>
      <c r="G39" s="2" t="s">
        <v>76</v>
      </c>
      <c r="H39">
        <v>456494354</v>
      </c>
      <c r="I39">
        <v>1376813649</v>
      </c>
      <c r="J39">
        <v>108873</v>
      </c>
      <c r="K39" s="2" t="s">
        <v>588</v>
      </c>
      <c r="L39" s="2" t="s">
        <v>427</v>
      </c>
      <c r="M39" s="2" t="s">
        <v>429</v>
      </c>
      <c r="N39" s="2" t="s">
        <v>476</v>
      </c>
      <c r="Q39" s="5">
        <f t="shared" si="1"/>
        <v>44863.708333333336</v>
      </c>
      <c r="R39" t="s">
        <v>12</v>
      </c>
      <c r="S39">
        <v>12</v>
      </c>
      <c r="T39" t="s">
        <v>79</v>
      </c>
      <c r="U39">
        <v>60</v>
      </c>
      <c r="V39" t="s">
        <v>88</v>
      </c>
      <c r="W39" t="s">
        <v>89</v>
      </c>
      <c r="X39">
        <v>41.639645690000002</v>
      </c>
      <c r="Y39">
        <v>13.35117161</v>
      </c>
      <c r="Z39">
        <f t="shared" si="0"/>
        <v>178901</v>
      </c>
    </row>
    <row r="40" spans="1:27">
      <c r="A40" s="1">
        <v>44863.708333333336</v>
      </c>
      <c r="B40" s="2" t="s">
        <v>12</v>
      </c>
      <c r="C40">
        <v>6</v>
      </c>
      <c r="D40" s="2" t="s">
        <v>70</v>
      </c>
      <c r="E40">
        <v>93</v>
      </c>
      <c r="F40" s="2" t="s">
        <v>77</v>
      </c>
      <c r="G40" s="2" t="s">
        <v>78</v>
      </c>
      <c r="H40">
        <v>4595443546</v>
      </c>
      <c r="I40">
        <v>1266002909</v>
      </c>
      <c r="J40">
        <v>126212</v>
      </c>
      <c r="K40" s="2" t="s">
        <v>588</v>
      </c>
      <c r="L40" s="2" t="s">
        <v>427</v>
      </c>
      <c r="M40" s="2" t="s">
        <v>429</v>
      </c>
      <c r="N40" s="2" t="s">
        <v>477</v>
      </c>
      <c r="Q40" s="5">
        <f t="shared" si="1"/>
        <v>44863.708333333336</v>
      </c>
      <c r="R40" t="s">
        <v>12</v>
      </c>
      <c r="S40">
        <v>12</v>
      </c>
      <c r="T40" t="s">
        <v>79</v>
      </c>
      <c r="U40">
        <v>59</v>
      </c>
      <c r="V40" t="s">
        <v>86</v>
      </c>
      <c r="W40" t="s">
        <v>87</v>
      </c>
      <c r="X40">
        <v>41.467594650000002</v>
      </c>
      <c r="Y40">
        <v>12.90368482</v>
      </c>
      <c r="Z40">
        <f t="shared" si="0"/>
        <v>226828</v>
      </c>
    </row>
    <row r="41" spans="1:27">
      <c r="A41" s="1">
        <v>44863.708333333336</v>
      </c>
      <c r="B41" s="2" t="s">
        <v>12</v>
      </c>
      <c r="C41">
        <v>6</v>
      </c>
      <c r="D41" s="2" t="s">
        <v>70</v>
      </c>
      <c r="E41">
        <v>885</v>
      </c>
      <c r="F41" s="2" t="s">
        <v>22</v>
      </c>
      <c r="G41" s="2" t="s">
        <v>588</v>
      </c>
      <c r="J41">
        <v>8023</v>
      </c>
      <c r="K41" s="2" t="s">
        <v>588</v>
      </c>
      <c r="L41" s="2" t="s">
        <v>427</v>
      </c>
      <c r="M41" s="2" t="s">
        <v>429</v>
      </c>
      <c r="N41" s="2" t="s">
        <v>588</v>
      </c>
      <c r="Q41" s="5">
        <f t="shared" si="1"/>
        <v>44863.708333333336</v>
      </c>
      <c r="R41" t="s">
        <v>12</v>
      </c>
      <c r="S41">
        <v>12</v>
      </c>
      <c r="T41" t="s">
        <v>79</v>
      </c>
      <c r="U41">
        <v>57</v>
      </c>
      <c r="V41" t="s">
        <v>82</v>
      </c>
      <c r="W41" t="s">
        <v>83</v>
      </c>
      <c r="X41">
        <v>42.404884439999996</v>
      </c>
      <c r="Y41">
        <v>12.862059390000001</v>
      </c>
      <c r="Z41">
        <f t="shared" si="0"/>
        <v>63177</v>
      </c>
    </row>
    <row r="42" spans="1:27">
      <c r="A42" s="1">
        <v>44863.708333333336</v>
      </c>
      <c r="B42" s="2" t="s">
        <v>12</v>
      </c>
      <c r="C42">
        <v>6</v>
      </c>
      <c r="D42" s="2" t="s">
        <v>70</v>
      </c>
      <c r="E42">
        <v>985</v>
      </c>
      <c r="F42" s="2" t="s">
        <v>23</v>
      </c>
      <c r="G42" s="2" t="s">
        <v>588</v>
      </c>
      <c r="J42">
        <v>0</v>
      </c>
      <c r="K42" s="2" t="s">
        <v>588</v>
      </c>
      <c r="L42" s="2" t="s">
        <v>427</v>
      </c>
      <c r="M42" s="2" t="s">
        <v>429</v>
      </c>
      <c r="N42" s="2" t="s">
        <v>588</v>
      </c>
      <c r="Q42" s="5">
        <f t="shared" si="1"/>
        <v>44863.708333333336</v>
      </c>
      <c r="R42" t="s">
        <v>12</v>
      </c>
      <c r="S42">
        <v>12</v>
      </c>
      <c r="T42" t="s">
        <v>79</v>
      </c>
      <c r="U42">
        <v>58</v>
      </c>
      <c r="V42" t="s">
        <v>84</v>
      </c>
      <c r="W42" t="s">
        <v>85</v>
      </c>
      <c r="X42">
        <v>41.89277044</v>
      </c>
      <c r="Y42">
        <v>12.483667219999999</v>
      </c>
      <c r="Z42">
        <f t="shared" si="0"/>
        <v>1591779</v>
      </c>
    </row>
    <row r="43" spans="1:27">
      <c r="A43" s="1">
        <v>44863.708333333336</v>
      </c>
      <c r="B43" s="2" t="s">
        <v>12</v>
      </c>
      <c r="C43">
        <v>12</v>
      </c>
      <c r="D43" s="2" t="s">
        <v>79</v>
      </c>
      <c r="E43">
        <v>56</v>
      </c>
      <c r="F43" s="2" t="s">
        <v>80</v>
      </c>
      <c r="G43" s="2" t="s">
        <v>81</v>
      </c>
      <c r="H43">
        <v>424173828</v>
      </c>
      <c r="I43">
        <v>1210473416</v>
      </c>
      <c r="J43">
        <v>98749</v>
      </c>
      <c r="K43" s="2" t="s">
        <v>588</v>
      </c>
      <c r="L43" s="2" t="s">
        <v>430</v>
      </c>
      <c r="M43" s="2" t="s">
        <v>431</v>
      </c>
      <c r="N43" s="2" t="s">
        <v>478</v>
      </c>
      <c r="Q43" s="5">
        <f t="shared" si="1"/>
        <v>44863.708333333336</v>
      </c>
      <c r="R43" t="s">
        <v>12</v>
      </c>
      <c r="S43">
        <v>12</v>
      </c>
      <c r="T43" t="s">
        <v>79</v>
      </c>
      <c r="U43">
        <v>56</v>
      </c>
      <c r="V43" t="s">
        <v>80</v>
      </c>
      <c r="W43" t="s">
        <v>81</v>
      </c>
      <c r="X43">
        <v>42.417382799999999</v>
      </c>
      <c r="Y43">
        <v>12.10473416</v>
      </c>
      <c r="Z43">
        <f t="shared" si="0"/>
        <v>98749</v>
      </c>
    </row>
    <row r="44" spans="1:27">
      <c r="A44" s="1">
        <v>44863.708333333336</v>
      </c>
      <c r="B44" s="2" t="s">
        <v>12</v>
      </c>
      <c r="C44">
        <v>12</v>
      </c>
      <c r="D44" s="2" t="s">
        <v>79</v>
      </c>
      <c r="E44">
        <v>57</v>
      </c>
      <c r="F44" s="2" t="s">
        <v>82</v>
      </c>
      <c r="G44" s="2" t="s">
        <v>83</v>
      </c>
      <c r="H44">
        <v>4240488444</v>
      </c>
      <c r="I44">
        <v>1286205939</v>
      </c>
      <c r="J44">
        <v>63177</v>
      </c>
      <c r="K44" s="2" t="s">
        <v>588</v>
      </c>
      <c r="L44" s="2" t="s">
        <v>430</v>
      </c>
      <c r="M44" s="2" t="s">
        <v>431</v>
      </c>
      <c r="N44" s="2" t="s">
        <v>479</v>
      </c>
      <c r="Q44" s="5">
        <f t="shared" si="1"/>
        <v>44863.708333333336</v>
      </c>
      <c r="R44" t="s">
        <v>12</v>
      </c>
      <c r="S44">
        <v>12</v>
      </c>
      <c r="T44" t="s">
        <v>79</v>
      </c>
      <c r="U44">
        <v>986</v>
      </c>
      <c r="V44" t="s">
        <v>264</v>
      </c>
      <c r="X44">
        <v>0</v>
      </c>
      <c r="Y44">
        <v>0</v>
      </c>
      <c r="Z44">
        <f t="shared" si="0"/>
        <v>0</v>
      </c>
      <c r="AA44">
        <f>SUMIFS(J:J,F:F,"Fuori Regione / Provincia Autonoma",D:D,T44)</f>
        <v>6045</v>
      </c>
    </row>
    <row r="45" spans="1:27">
      <c r="A45" s="1">
        <v>44863.708333333336</v>
      </c>
      <c r="B45" s="2" t="s">
        <v>12</v>
      </c>
      <c r="C45">
        <v>12</v>
      </c>
      <c r="D45" s="2" t="s">
        <v>79</v>
      </c>
      <c r="E45">
        <v>58</v>
      </c>
      <c r="F45" s="2" t="s">
        <v>84</v>
      </c>
      <c r="G45" s="2" t="s">
        <v>85</v>
      </c>
      <c r="H45">
        <v>4189277044</v>
      </c>
      <c r="I45">
        <v>1248366722</v>
      </c>
      <c r="J45">
        <v>1591779</v>
      </c>
      <c r="K45" s="2" t="s">
        <v>588</v>
      </c>
      <c r="L45" s="2" t="s">
        <v>430</v>
      </c>
      <c r="M45" s="2" t="s">
        <v>431</v>
      </c>
      <c r="N45" s="2" t="s">
        <v>480</v>
      </c>
      <c r="Q45" s="5">
        <f t="shared" si="1"/>
        <v>44863.708333333336</v>
      </c>
      <c r="R45" t="s">
        <v>12</v>
      </c>
      <c r="S45">
        <v>7</v>
      </c>
      <c r="T45" t="s">
        <v>90</v>
      </c>
      <c r="U45">
        <v>10</v>
      </c>
      <c r="V45" t="s">
        <v>95</v>
      </c>
      <c r="W45" t="s">
        <v>96</v>
      </c>
      <c r="X45">
        <v>44.411493139999997</v>
      </c>
      <c r="Y45">
        <v>8.9326992000000001</v>
      </c>
      <c r="Z45">
        <f t="shared" si="0"/>
        <v>312688</v>
      </c>
    </row>
    <row r="46" spans="1:27">
      <c r="A46" s="1">
        <v>44863.708333333336</v>
      </c>
      <c r="B46" s="2" t="s">
        <v>12</v>
      </c>
      <c r="C46">
        <v>12</v>
      </c>
      <c r="D46" s="2" t="s">
        <v>79</v>
      </c>
      <c r="E46">
        <v>59</v>
      </c>
      <c r="F46" s="2" t="s">
        <v>86</v>
      </c>
      <c r="G46" s="2" t="s">
        <v>87</v>
      </c>
      <c r="H46">
        <v>4146759465</v>
      </c>
      <c r="I46">
        <v>1290368482</v>
      </c>
      <c r="J46">
        <v>226828</v>
      </c>
      <c r="K46" s="2" t="s">
        <v>588</v>
      </c>
      <c r="L46" s="2" t="s">
        <v>430</v>
      </c>
      <c r="M46" s="2" t="s">
        <v>431</v>
      </c>
      <c r="N46" s="2" t="s">
        <v>481</v>
      </c>
      <c r="Q46" s="5">
        <f t="shared" si="1"/>
        <v>44863.708333333336</v>
      </c>
      <c r="R46" t="s">
        <v>12</v>
      </c>
      <c r="S46">
        <v>7</v>
      </c>
      <c r="T46" t="s">
        <v>90</v>
      </c>
      <c r="U46">
        <v>8</v>
      </c>
      <c r="V46" t="s">
        <v>91</v>
      </c>
      <c r="W46" t="s">
        <v>92</v>
      </c>
      <c r="X46">
        <v>43.885706480000003</v>
      </c>
      <c r="Y46">
        <v>8.0278502979999899</v>
      </c>
      <c r="Z46">
        <f t="shared" si="0"/>
        <v>80249</v>
      </c>
    </row>
    <row r="47" spans="1:27">
      <c r="A47" s="1">
        <v>44863.708333333336</v>
      </c>
      <c r="B47" s="2" t="s">
        <v>12</v>
      </c>
      <c r="C47">
        <v>12</v>
      </c>
      <c r="D47" s="2" t="s">
        <v>79</v>
      </c>
      <c r="E47">
        <v>60</v>
      </c>
      <c r="F47" s="2" t="s">
        <v>88</v>
      </c>
      <c r="G47" s="2" t="s">
        <v>89</v>
      </c>
      <c r="H47">
        <v>4163964569</v>
      </c>
      <c r="I47">
        <v>1335117161</v>
      </c>
      <c r="J47">
        <v>178901</v>
      </c>
      <c r="K47" s="2" t="s">
        <v>588</v>
      </c>
      <c r="L47" s="2" t="s">
        <v>430</v>
      </c>
      <c r="M47" s="2" t="s">
        <v>431</v>
      </c>
      <c r="N47" s="2" t="s">
        <v>482</v>
      </c>
      <c r="Q47" s="5">
        <f t="shared" si="1"/>
        <v>44863.708333333336</v>
      </c>
      <c r="R47" t="s">
        <v>12</v>
      </c>
      <c r="S47">
        <v>7</v>
      </c>
      <c r="T47" t="s">
        <v>90</v>
      </c>
      <c r="U47">
        <v>11</v>
      </c>
      <c r="V47" t="s">
        <v>97</v>
      </c>
      <c r="W47" t="s">
        <v>98</v>
      </c>
      <c r="X47">
        <v>44.107049910000001</v>
      </c>
      <c r="Y47">
        <v>9.8281896999999994</v>
      </c>
      <c r="Z47">
        <f t="shared" si="0"/>
        <v>87337</v>
      </c>
    </row>
    <row r="48" spans="1:27">
      <c r="A48" s="1">
        <v>44863.708333333336</v>
      </c>
      <c r="B48" s="2" t="s">
        <v>12</v>
      </c>
      <c r="C48">
        <v>12</v>
      </c>
      <c r="D48" s="2" t="s">
        <v>79</v>
      </c>
      <c r="E48">
        <v>886</v>
      </c>
      <c r="F48" s="2" t="s">
        <v>22</v>
      </c>
      <c r="G48" s="2" t="s">
        <v>588</v>
      </c>
      <c r="J48">
        <v>6045</v>
      </c>
      <c r="K48" s="2" t="s">
        <v>588</v>
      </c>
      <c r="L48" s="2" t="s">
        <v>430</v>
      </c>
      <c r="M48" s="2" t="s">
        <v>431</v>
      </c>
      <c r="N48" s="2" t="s">
        <v>588</v>
      </c>
      <c r="Q48" s="5">
        <f t="shared" si="1"/>
        <v>44863.708333333336</v>
      </c>
      <c r="R48" t="s">
        <v>12</v>
      </c>
      <c r="S48">
        <v>7</v>
      </c>
      <c r="T48" t="s">
        <v>90</v>
      </c>
      <c r="U48">
        <v>9</v>
      </c>
      <c r="V48" t="s">
        <v>93</v>
      </c>
      <c r="W48" t="s">
        <v>94</v>
      </c>
      <c r="X48">
        <v>44.307504610000002</v>
      </c>
      <c r="Y48">
        <v>8.4811086539999998</v>
      </c>
      <c r="Z48">
        <f t="shared" si="0"/>
        <v>94920</v>
      </c>
    </row>
    <row r="49" spans="1:27">
      <c r="A49" s="1">
        <v>44863.708333333336</v>
      </c>
      <c r="B49" s="2" t="s">
        <v>12</v>
      </c>
      <c r="C49">
        <v>12</v>
      </c>
      <c r="D49" s="2" t="s">
        <v>79</v>
      </c>
      <c r="E49">
        <v>986</v>
      </c>
      <c r="F49" s="2" t="s">
        <v>23</v>
      </c>
      <c r="G49" s="2" t="s">
        <v>588</v>
      </c>
      <c r="J49">
        <v>21</v>
      </c>
      <c r="K49" s="2" t="s">
        <v>588</v>
      </c>
      <c r="L49" s="2" t="s">
        <v>430</v>
      </c>
      <c r="M49" s="2" t="s">
        <v>431</v>
      </c>
      <c r="N49" s="2" t="s">
        <v>588</v>
      </c>
      <c r="Q49" s="5">
        <f t="shared" si="1"/>
        <v>44863.708333333336</v>
      </c>
      <c r="R49" t="s">
        <v>12</v>
      </c>
      <c r="S49">
        <v>7</v>
      </c>
      <c r="T49" t="s">
        <v>90</v>
      </c>
      <c r="U49">
        <v>987</v>
      </c>
      <c r="V49" t="s">
        <v>264</v>
      </c>
      <c r="X49">
        <v>0</v>
      </c>
      <c r="Y49">
        <v>0</v>
      </c>
      <c r="Z49">
        <f t="shared" si="0"/>
        <v>0</v>
      </c>
      <c r="AA49">
        <f>SUMIFS(J:J,F:F,"Fuori Regione / Provincia Autonoma",D:D,T49)</f>
        <v>9468</v>
      </c>
    </row>
    <row r="50" spans="1:27">
      <c r="A50" s="1">
        <v>44863.708333333336</v>
      </c>
      <c r="B50" s="2" t="s">
        <v>12</v>
      </c>
      <c r="C50">
        <v>7</v>
      </c>
      <c r="D50" s="2" t="s">
        <v>90</v>
      </c>
      <c r="E50">
        <v>8</v>
      </c>
      <c r="F50" s="2" t="s">
        <v>91</v>
      </c>
      <c r="G50" s="2" t="s">
        <v>92</v>
      </c>
      <c r="H50">
        <v>4388570648</v>
      </c>
      <c r="I50">
        <v>8027850298</v>
      </c>
      <c r="J50">
        <v>80249</v>
      </c>
      <c r="K50" s="2" t="s">
        <v>588</v>
      </c>
      <c r="L50" s="2" t="s">
        <v>432</v>
      </c>
      <c r="M50" s="2" t="s">
        <v>433</v>
      </c>
      <c r="N50" s="2" t="s">
        <v>483</v>
      </c>
      <c r="Q50" s="5">
        <f t="shared" si="1"/>
        <v>44863.708333333336</v>
      </c>
      <c r="R50" t="s">
        <v>12</v>
      </c>
      <c r="S50">
        <v>3</v>
      </c>
      <c r="T50" t="s">
        <v>99</v>
      </c>
      <c r="U50">
        <v>16</v>
      </c>
      <c r="V50" t="s">
        <v>108</v>
      </c>
      <c r="W50" t="s">
        <v>109</v>
      </c>
      <c r="X50">
        <v>45.694413679999997</v>
      </c>
      <c r="Y50">
        <v>9.6684245279999992</v>
      </c>
      <c r="Z50">
        <f t="shared" si="0"/>
        <v>301317</v>
      </c>
    </row>
    <row r="51" spans="1:27">
      <c r="A51" s="1">
        <v>44863.708333333336</v>
      </c>
      <c r="B51" s="2" t="s">
        <v>12</v>
      </c>
      <c r="C51">
        <v>7</v>
      </c>
      <c r="D51" s="2" t="s">
        <v>90</v>
      </c>
      <c r="E51">
        <v>9</v>
      </c>
      <c r="F51" s="2" t="s">
        <v>93</v>
      </c>
      <c r="G51" s="2" t="s">
        <v>94</v>
      </c>
      <c r="H51">
        <v>4430750461</v>
      </c>
      <c r="I51">
        <v>8481108654</v>
      </c>
      <c r="J51">
        <v>94920</v>
      </c>
      <c r="K51" s="2" t="s">
        <v>588</v>
      </c>
      <c r="L51" s="2" t="s">
        <v>432</v>
      </c>
      <c r="M51" s="2" t="s">
        <v>433</v>
      </c>
      <c r="N51" s="2" t="s">
        <v>484</v>
      </c>
      <c r="Q51" s="5">
        <f t="shared" si="1"/>
        <v>44863.708333333336</v>
      </c>
      <c r="R51" t="s">
        <v>12</v>
      </c>
      <c r="S51">
        <v>3</v>
      </c>
      <c r="T51" t="s">
        <v>99</v>
      </c>
      <c r="U51">
        <v>17</v>
      </c>
      <c r="V51" t="s">
        <v>110</v>
      </c>
      <c r="W51" t="s">
        <v>111</v>
      </c>
      <c r="X51">
        <v>45.539930519999999</v>
      </c>
      <c r="Y51">
        <v>10.21910323</v>
      </c>
      <c r="Z51">
        <f t="shared" si="0"/>
        <v>476634</v>
      </c>
    </row>
    <row r="52" spans="1:27">
      <c r="A52" s="1">
        <v>44863.708333333336</v>
      </c>
      <c r="B52" s="2" t="s">
        <v>12</v>
      </c>
      <c r="C52">
        <v>7</v>
      </c>
      <c r="D52" s="2" t="s">
        <v>90</v>
      </c>
      <c r="E52">
        <v>10</v>
      </c>
      <c r="F52" s="2" t="s">
        <v>95</v>
      </c>
      <c r="G52" s="2" t="s">
        <v>96</v>
      </c>
      <c r="H52">
        <v>4441149314</v>
      </c>
      <c r="I52">
        <v>89326992</v>
      </c>
      <c r="J52">
        <v>312688</v>
      </c>
      <c r="K52" s="2" t="s">
        <v>588</v>
      </c>
      <c r="L52" s="2" t="s">
        <v>432</v>
      </c>
      <c r="M52" s="2" t="s">
        <v>433</v>
      </c>
      <c r="N52" s="2" t="s">
        <v>485</v>
      </c>
      <c r="Q52" s="5">
        <f t="shared" si="1"/>
        <v>44863.708333333336</v>
      </c>
      <c r="R52" t="s">
        <v>12</v>
      </c>
      <c r="S52">
        <v>3</v>
      </c>
      <c r="T52" t="s">
        <v>99</v>
      </c>
      <c r="U52">
        <v>13</v>
      </c>
      <c r="V52" t="s">
        <v>102</v>
      </c>
      <c r="W52" t="s">
        <v>103</v>
      </c>
      <c r="X52">
        <v>45.809991199999999</v>
      </c>
      <c r="Y52">
        <v>9.0851595459999999</v>
      </c>
      <c r="Z52">
        <f t="shared" si="0"/>
        <v>232328</v>
      </c>
    </row>
    <row r="53" spans="1:27">
      <c r="A53" s="1">
        <v>44863.708333333336</v>
      </c>
      <c r="B53" s="2" t="s">
        <v>12</v>
      </c>
      <c r="C53">
        <v>7</v>
      </c>
      <c r="D53" s="2" t="s">
        <v>90</v>
      </c>
      <c r="E53">
        <v>11</v>
      </c>
      <c r="F53" s="2" t="s">
        <v>97</v>
      </c>
      <c r="G53" s="2" t="s">
        <v>98</v>
      </c>
      <c r="H53">
        <v>4410704991</v>
      </c>
      <c r="I53">
        <v>98281897</v>
      </c>
      <c r="J53">
        <v>87337</v>
      </c>
      <c r="K53" s="2" t="s">
        <v>588</v>
      </c>
      <c r="L53" s="2" t="s">
        <v>432</v>
      </c>
      <c r="M53" s="2" t="s">
        <v>433</v>
      </c>
      <c r="N53" s="2" t="s">
        <v>486</v>
      </c>
      <c r="Q53" s="5">
        <f t="shared" si="1"/>
        <v>44863.708333333336</v>
      </c>
      <c r="R53" t="s">
        <v>12</v>
      </c>
      <c r="S53">
        <v>3</v>
      </c>
      <c r="T53" t="s">
        <v>99</v>
      </c>
      <c r="U53">
        <v>19</v>
      </c>
      <c r="V53" t="s">
        <v>114</v>
      </c>
      <c r="W53" t="s">
        <v>115</v>
      </c>
      <c r="X53">
        <v>45.13336675</v>
      </c>
      <c r="Y53">
        <v>10.02420865</v>
      </c>
      <c r="Z53">
        <f t="shared" si="0"/>
        <v>126463</v>
      </c>
    </row>
    <row r="54" spans="1:27">
      <c r="A54" s="1">
        <v>44863.708333333336</v>
      </c>
      <c r="B54" s="2" t="s">
        <v>12</v>
      </c>
      <c r="C54">
        <v>7</v>
      </c>
      <c r="D54" s="2" t="s">
        <v>90</v>
      </c>
      <c r="E54">
        <v>887</v>
      </c>
      <c r="F54" s="2" t="s">
        <v>22</v>
      </c>
      <c r="G54" s="2" t="s">
        <v>588</v>
      </c>
      <c r="J54">
        <v>9468</v>
      </c>
      <c r="K54" s="2" t="s">
        <v>588</v>
      </c>
      <c r="L54" s="2" t="s">
        <v>432</v>
      </c>
      <c r="M54" s="2" t="s">
        <v>433</v>
      </c>
      <c r="N54" s="2" t="s">
        <v>588</v>
      </c>
      <c r="Q54" s="5">
        <f t="shared" si="1"/>
        <v>44863.708333333336</v>
      </c>
      <c r="R54" t="s">
        <v>12</v>
      </c>
      <c r="S54">
        <v>3</v>
      </c>
      <c r="T54" t="s">
        <v>99</v>
      </c>
      <c r="U54">
        <v>97</v>
      </c>
      <c r="V54" t="s">
        <v>118</v>
      </c>
      <c r="W54" t="s">
        <v>119</v>
      </c>
      <c r="X54">
        <v>45.85575781</v>
      </c>
      <c r="Y54">
        <v>9.3933922459999994</v>
      </c>
      <c r="Z54">
        <f t="shared" si="0"/>
        <v>115735</v>
      </c>
    </row>
    <row r="55" spans="1:27">
      <c r="A55" s="1">
        <v>44863.708333333336</v>
      </c>
      <c r="B55" s="2" t="s">
        <v>12</v>
      </c>
      <c r="C55">
        <v>7</v>
      </c>
      <c r="D55" s="2" t="s">
        <v>90</v>
      </c>
      <c r="E55">
        <v>987</v>
      </c>
      <c r="F55" s="2" t="s">
        <v>23</v>
      </c>
      <c r="G55" s="2" t="s">
        <v>588</v>
      </c>
      <c r="J55">
        <v>19399</v>
      </c>
      <c r="K55" s="2" t="s">
        <v>588</v>
      </c>
      <c r="L55" s="2" t="s">
        <v>432</v>
      </c>
      <c r="M55" s="2" t="s">
        <v>433</v>
      </c>
      <c r="N55" s="2" t="s">
        <v>588</v>
      </c>
      <c r="Q55" s="5">
        <f t="shared" si="1"/>
        <v>44863.708333333336</v>
      </c>
      <c r="R55" t="s">
        <v>12</v>
      </c>
      <c r="S55">
        <v>3</v>
      </c>
      <c r="T55" t="s">
        <v>99</v>
      </c>
      <c r="U55">
        <v>98</v>
      </c>
      <c r="V55" t="s">
        <v>120</v>
      </c>
      <c r="W55" t="s">
        <v>121</v>
      </c>
      <c r="X55">
        <v>45.314406929999997</v>
      </c>
      <c r="Y55">
        <v>9.5037207689999992</v>
      </c>
      <c r="Z55">
        <f t="shared" si="0"/>
        <v>82176</v>
      </c>
    </row>
    <row r="56" spans="1:27">
      <c r="A56" s="1">
        <v>44863.708333333336</v>
      </c>
      <c r="B56" s="2" t="s">
        <v>12</v>
      </c>
      <c r="C56">
        <v>3</v>
      </c>
      <c r="D56" s="2" t="s">
        <v>99</v>
      </c>
      <c r="E56">
        <v>12</v>
      </c>
      <c r="F56" s="2" t="s">
        <v>100</v>
      </c>
      <c r="G56" s="2" t="s">
        <v>101</v>
      </c>
      <c r="H56">
        <v>4581701677</v>
      </c>
      <c r="I56">
        <v>8822868344</v>
      </c>
      <c r="J56">
        <v>340292</v>
      </c>
      <c r="K56" s="2" t="s">
        <v>588</v>
      </c>
      <c r="L56" s="2" t="s">
        <v>432</v>
      </c>
      <c r="M56" s="2" t="s">
        <v>434</v>
      </c>
      <c r="N56" s="2" t="s">
        <v>487</v>
      </c>
      <c r="Q56" s="5">
        <f t="shared" si="1"/>
        <v>44863.708333333336</v>
      </c>
      <c r="R56" t="s">
        <v>12</v>
      </c>
      <c r="S56">
        <v>3</v>
      </c>
      <c r="T56" t="s">
        <v>99</v>
      </c>
      <c r="U56">
        <v>20</v>
      </c>
      <c r="V56" t="s">
        <v>116</v>
      </c>
      <c r="W56" t="s">
        <v>117</v>
      </c>
      <c r="X56">
        <v>45.15726772</v>
      </c>
      <c r="Y56">
        <v>10.792773629999999</v>
      </c>
      <c r="Z56">
        <f t="shared" si="0"/>
        <v>162860</v>
      </c>
    </row>
    <row r="57" spans="1:27">
      <c r="A57" s="1">
        <v>44863.708333333336</v>
      </c>
      <c r="B57" s="2" t="s">
        <v>12</v>
      </c>
      <c r="C57">
        <v>3</v>
      </c>
      <c r="D57" s="2" t="s">
        <v>99</v>
      </c>
      <c r="E57">
        <v>13</v>
      </c>
      <c r="F57" s="2" t="s">
        <v>102</v>
      </c>
      <c r="G57" s="2" t="s">
        <v>103</v>
      </c>
      <c r="H57">
        <v>458099912</v>
      </c>
      <c r="I57">
        <v>9085159546</v>
      </c>
      <c r="J57">
        <v>232328</v>
      </c>
      <c r="K57" s="2" t="s">
        <v>588</v>
      </c>
      <c r="L57" s="2" t="s">
        <v>432</v>
      </c>
      <c r="M57" s="2" t="s">
        <v>434</v>
      </c>
      <c r="N57" s="2" t="s">
        <v>488</v>
      </c>
      <c r="Q57" s="5">
        <f t="shared" si="1"/>
        <v>44863.708333333336</v>
      </c>
      <c r="R57" t="s">
        <v>12</v>
      </c>
      <c r="S57">
        <v>3</v>
      </c>
      <c r="T57" t="s">
        <v>99</v>
      </c>
      <c r="U57">
        <v>15</v>
      </c>
      <c r="V57" t="s">
        <v>106</v>
      </c>
      <c r="W57" t="s">
        <v>107</v>
      </c>
      <c r="X57">
        <v>45.46679409</v>
      </c>
      <c r="Y57">
        <v>9.1903474040000006</v>
      </c>
      <c r="Z57">
        <f t="shared" si="0"/>
        <v>1212001</v>
      </c>
    </row>
    <row r="58" spans="1:27">
      <c r="A58" s="1">
        <v>44863.708333333336</v>
      </c>
      <c r="B58" s="2" t="s">
        <v>12</v>
      </c>
      <c r="C58">
        <v>3</v>
      </c>
      <c r="D58" s="2" t="s">
        <v>99</v>
      </c>
      <c r="E58">
        <v>14</v>
      </c>
      <c r="F58" s="2" t="s">
        <v>104</v>
      </c>
      <c r="G58" s="2" t="s">
        <v>105</v>
      </c>
      <c r="H58">
        <v>4617099261</v>
      </c>
      <c r="I58">
        <v>987147489</v>
      </c>
      <c r="J58">
        <v>65067</v>
      </c>
      <c r="K58" s="2" t="s">
        <v>588</v>
      </c>
      <c r="L58" s="2" t="s">
        <v>432</v>
      </c>
      <c r="M58" s="2" t="s">
        <v>434</v>
      </c>
      <c r="N58" s="2" t="s">
        <v>489</v>
      </c>
      <c r="Q58" s="5">
        <f t="shared" si="1"/>
        <v>44863.708333333336</v>
      </c>
      <c r="R58" t="s">
        <v>12</v>
      </c>
      <c r="S58">
        <v>3</v>
      </c>
      <c r="T58" t="s">
        <v>99</v>
      </c>
      <c r="U58">
        <v>108</v>
      </c>
      <c r="V58" t="s">
        <v>122</v>
      </c>
      <c r="W58" t="s">
        <v>123</v>
      </c>
      <c r="X58">
        <v>45.584390429999999</v>
      </c>
      <c r="Y58">
        <v>9.2735824719999993</v>
      </c>
      <c r="Z58">
        <f t="shared" si="0"/>
        <v>339491</v>
      </c>
    </row>
    <row r="59" spans="1:27">
      <c r="A59" s="1">
        <v>44863.708333333336</v>
      </c>
      <c r="B59" s="2" t="s">
        <v>12</v>
      </c>
      <c r="C59">
        <v>3</v>
      </c>
      <c r="D59" s="2" t="s">
        <v>99</v>
      </c>
      <c r="E59">
        <v>15</v>
      </c>
      <c r="F59" s="2" t="s">
        <v>106</v>
      </c>
      <c r="G59" s="2" t="s">
        <v>107</v>
      </c>
      <c r="H59">
        <v>4546679409</v>
      </c>
      <c r="I59">
        <v>9190347404</v>
      </c>
      <c r="J59">
        <v>1212001</v>
      </c>
      <c r="K59" s="2" t="s">
        <v>588</v>
      </c>
      <c r="L59" s="2" t="s">
        <v>432</v>
      </c>
      <c r="M59" s="2" t="s">
        <v>434</v>
      </c>
      <c r="N59" s="2" t="s">
        <v>490</v>
      </c>
      <c r="Q59" s="5">
        <f t="shared" si="1"/>
        <v>44863.708333333336</v>
      </c>
      <c r="R59" t="s">
        <v>12</v>
      </c>
      <c r="S59">
        <v>3</v>
      </c>
      <c r="T59" t="s">
        <v>99</v>
      </c>
      <c r="U59">
        <v>18</v>
      </c>
      <c r="V59" t="s">
        <v>112</v>
      </c>
      <c r="W59" t="s">
        <v>113</v>
      </c>
      <c r="X59">
        <v>45.185092640000001</v>
      </c>
      <c r="Y59">
        <v>9.1601571909999997</v>
      </c>
      <c r="Z59">
        <f t="shared" si="0"/>
        <v>204930</v>
      </c>
    </row>
    <row r="60" spans="1:27">
      <c r="A60" s="1">
        <v>44863.708333333336</v>
      </c>
      <c r="B60" s="2" t="s">
        <v>12</v>
      </c>
      <c r="C60">
        <v>3</v>
      </c>
      <c r="D60" s="2" t="s">
        <v>99</v>
      </c>
      <c r="E60">
        <v>16</v>
      </c>
      <c r="F60" s="2" t="s">
        <v>108</v>
      </c>
      <c r="G60" s="2" t="s">
        <v>109</v>
      </c>
      <c r="H60">
        <v>4569441368</v>
      </c>
      <c r="I60">
        <v>9668424528</v>
      </c>
      <c r="J60">
        <v>301317</v>
      </c>
      <c r="K60" s="2" t="s">
        <v>588</v>
      </c>
      <c r="L60" s="2" t="s">
        <v>432</v>
      </c>
      <c r="M60" s="2" t="s">
        <v>434</v>
      </c>
      <c r="N60" s="2" t="s">
        <v>491</v>
      </c>
      <c r="Q60" s="5">
        <f t="shared" si="1"/>
        <v>44863.708333333336</v>
      </c>
      <c r="R60" t="s">
        <v>12</v>
      </c>
      <c r="S60">
        <v>3</v>
      </c>
      <c r="T60" t="s">
        <v>99</v>
      </c>
      <c r="U60">
        <v>14</v>
      </c>
      <c r="V60" t="s">
        <v>104</v>
      </c>
      <c r="W60" t="s">
        <v>105</v>
      </c>
      <c r="X60">
        <v>46.170992609999999</v>
      </c>
      <c r="Y60">
        <v>9.87147489</v>
      </c>
      <c r="Z60">
        <f t="shared" si="0"/>
        <v>65067</v>
      </c>
    </row>
    <row r="61" spans="1:27">
      <c r="A61" s="1">
        <v>44863.708333333336</v>
      </c>
      <c r="B61" s="2" t="s">
        <v>12</v>
      </c>
      <c r="C61">
        <v>3</v>
      </c>
      <c r="D61" s="2" t="s">
        <v>99</v>
      </c>
      <c r="E61">
        <v>17</v>
      </c>
      <c r="F61" s="2" t="s">
        <v>110</v>
      </c>
      <c r="G61" s="2" t="s">
        <v>111</v>
      </c>
      <c r="H61">
        <v>4553993052</v>
      </c>
      <c r="I61">
        <v>1021910323</v>
      </c>
      <c r="J61">
        <v>476634</v>
      </c>
      <c r="K61" s="2" t="s">
        <v>588</v>
      </c>
      <c r="L61" s="2" t="s">
        <v>432</v>
      </c>
      <c r="M61" s="2" t="s">
        <v>434</v>
      </c>
      <c r="N61" s="2" t="s">
        <v>492</v>
      </c>
      <c r="Q61" s="5">
        <f t="shared" si="1"/>
        <v>44863.708333333336</v>
      </c>
      <c r="R61" t="s">
        <v>12</v>
      </c>
      <c r="S61">
        <v>3</v>
      </c>
      <c r="T61" t="s">
        <v>99</v>
      </c>
      <c r="U61">
        <v>12</v>
      </c>
      <c r="V61" t="s">
        <v>100</v>
      </c>
      <c r="W61" t="s">
        <v>101</v>
      </c>
      <c r="X61">
        <v>45.817016770000002</v>
      </c>
      <c r="Y61">
        <v>8.8228683439999998</v>
      </c>
      <c r="Z61">
        <f t="shared" si="0"/>
        <v>340292</v>
      </c>
    </row>
    <row r="62" spans="1:27">
      <c r="A62" s="1">
        <v>44863.708333333336</v>
      </c>
      <c r="B62" s="2" t="s">
        <v>12</v>
      </c>
      <c r="C62">
        <v>3</v>
      </c>
      <c r="D62" s="2" t="s">
        <v>99</v>
      </c>
      <c r="E62">
        <v>18</v>
      </c>
      <c r="F62" s="2" t="s">
        <v>112</v>
      </c>
      <c r="G62" s="2" t="s">
        <v>113</v>
      </c>
      <c r="H62">
        <v>4518509264</v>
      </c>
      <c r="I62">
        <v>9160157191</v>
      </c>
      <c r="J62">
        <v>204930</v>
      </c>
      <c r="K62" s="2" t="s">
        <v>588</v>
      </c>
      <c r="L62" s="2" t="s">
        <v>432</v>
      </c>
      <c r="M62" s="2" t="s">
        <v>434</v>
      </c>
      <c r="N62" s="2" t="s">
        <v>493</v>
      </c>
      <c r="Q62" s="5">
        <f t="shared" si="1"/>
        <v>44863.708333333336</v>
      </c>
      <c r="R62" t="s">
        <v>12</v>
      </c>
      <c r="S62">
        <v>3</v>
      </c>
      <c r="T62" t="s">
        <v>99</v>
      </c>
      <c r="U62">
        <v>988</v>
      </c>
      <c r="V62" t="s">
        <v>264</v>
      </c>
      <c r="X62">
        <v>0</v>
      </c>
      <c r="Y62">
        <v>0</v>
      </c>
      <c r="Z62">
        <f t="shared" si="0"/>
        <v>0</v>
      </c>
      <c r="AA62">
        <f>SUMIFS(J:J,F:F,"Fuori Regione / Provincia Autonoma",D:D,T62)</f>
        <v>24640</v>
      </c>
    </row>
    <row r="63" spans="1:27">
      <c r="A63" s="1">
        <v>44863.708333333336</v>
      </c>
      <c r="B63" s="2" t="s">
        <v>12</v>
      </c>
      <c r="C63">
        <v>3</v>
      </c>
      <c r="D63" s="2" t="s">
        <v>99</v>
      </c>
      <c r="E63">
        <v>19</v>
      </c>
      <c r="F63" s="2" t="s">
        <v>114</v>
      </c>
      <c r="G63" s="2" t="s">
        <v>115</v>
      </c>
      <c r="H63">
        <v>4513336675</v>
      </c>
      <c r="I63">
        <v>1002420865</v>
      </c>
      <c r="J63">
        <v>126463</v>
      </c>
      <c r="K63" s="2" t="s">
        <v>588</v>
      </c>
      <c r="L63" s="2" t="s">
        <v>432</v>
      </c>
      <c r="M63" s="2" t="s">
        <v>434</v>
      </c>
      <c r="N63" s="2" t="s">
        <v>494</v>
      </c>
      <c r="Q63" s="5">
        <f t="shared" si="1"/>
        <v>44863.708333333336</v>
      </c>
      <c r="R63" t="s">
        <v>12</v>
      </c>
      <c r="S63">
        <v>11</v>
      </c>
      <c r="T63" t="s">
        <v>124</v>
      </c>
      <c r="U63">
        <v>42</v>
      </c>
      <c r="V63" t="s">
        <v>127</v>
      </c>
      <c r="W63" t="s">
        <v>128</v>
      </c>
      <c r="X63">
        <v>43.616759729999998</v>
      </c>
      <c r="Y63">
        <v>13.518875299999999</v>
      </c>
      <c r="Z63">
        <f t="shared" si="0"/>
        <v>197028</v>
      </c>
    </row>
    <row r="64" spans="1:27">
      <c r="A64" s="1">
        <v>44863.708333333336</v>
      </c>
      <c r="B64" s="2" t="s">
        <v>12</v>
      </c>
      <c r="C64">
        <v>3</v>
      </c>
      <c r="D64" s="2" t="s">
        <v>99</v>
      </c>
      <c r="E64">
        <v>20</v>
      </c>
      <c r="F64" s="2" t="s">
        <v>116</v>
      </c>
      <c r="G64" s="2" t="s">
        <v>117</v>
      </c>
      <c r="H64">
        <v>4515726772</v>
      </c>
      <c r="I64">
        <v>1079277363</v>
      </c>
      <c r="J64">
        <v>162860</v>
      </c>
      <c r="K64" s="2" t="s">
        <v>588</v>
      </c>
      <c r="L64" s="2" t="s">
        <v>432</v>
      </c>
      <c r="M64" s="2" t="s">
        <v>434</v>
      </c>
      <c r="N64" s="2" t="s">
        <v>495</v>
      </c>
      <c r="Q64" s="5">
        <f t="shared" si="1"/>
        <v>44863.708333333336</v>
      </c>
      <c r="R64" t="s">
        <v>12</v>
      </c>
      <c r="S64">
        <v>11</v>
      </c>
      <c r="T64" t="s">
        <v>124</v>
      </c>
      <c r="U64">
        <v>44</v>
      </c>
      <c r="V64" t="s">
        <v>131</v>
      </c>
      <c r="W64" t="s">
        <v>132</v>
      </c>
      <c r="X64">
        <v>42.853223040000003</v>
      </c>
      <c r="Y64">
        <v>13.57691127</v>
      </c>
      <c r="Z64">
        <f t="shared" si="0"/>
        <v>93659</v>
      </c>
    </row>
    <row r="65" spans="1:27">
      <c r="A65" s="1">
        <v>44863.708333333336</v>
      </c>
      <c r="B65" s="2" t="s">
        <v>12</v>
      </c>
      <c r="C65">
        <v>3</v>
      </c>
      <c r="D65" s="2" t="s">
        <v>99</v>
      </c>
      <c r="E65">
        <v>97</v>
      </c>
      <c r="F65" s="2" t="s">
        <v>118</v>
      </c>
      <c r="G65" s="2" t="s">
        <v>119</v>
      </c>
      <c r="H65">
        <v>4585575781</v>
      </c>
      <c r="I65">
        <v>9393392246</v>
      </c>
      <c r="J65">
        <v>115735</v>
      </c>
      <c r="K65" s="2" t="s">
        <v>588</v>
      </c>
      <c r="L65" s="2" t="s">
        <v>432</v>
      </c>
      <c r="M65" s="2" t="s">
        <v>434</v>
      </c>
      <c r="N65" s="2" t="s">
        <v>496</v>
      </c>
      <c r="Q65" s="5">
        <f t="shared" si="1"/>
        <v>44863.708333333336</v>
      </c>
      <c r="R65" t="s">
        <v>12</v>
      </c>
      <c r="S65">
        <v>11</v>
      </c>
      <c r="T65" t="s">
        <v>124</v>
      </c>
      <c r="U65">
        <v>109</v>
      </c>
      <c r="V65" t="s">
        <v>133</v>
      </c>
      <c r="W65" t="s">
        <v>134</v>
      </c>
      <c r="X65">
        <v>43.160585339999997</v>
      </c>
      <c r="Y65">
        <v>13.71839535</v>
      </c>
      <c r="Z65">
        <f t="shared" si="0"/>
        <v>76569</v>
      </c>
    </row>
    <row r="66" spans="1:27">
      <c r="A66" s="1">
        <v>44863.708333333336</v>
      </c>
      <c r="B66" s="2" t="s">
        <v>12</v>
      </c>
      <c r="C66">
        <v>3</v>
      </c>
      <c r="D66" s="2" t="s">
        <v>99</v>
      </c>
      <c r="E66">
        <v>98</v>
      </c>
      <c r="F66" s="2" t="s">
        <v>120</v>
      </c>
      <c r="G66" s="2" t="s">
        <v>121</v>
      </c>
      <c r="H66">
        <v>4531440693</v>
      </c>
      <c r="I66">
        <v>9503720769</v>
      </c>
      <c r="J66">
        <v>82176</v>
      </c>
      <c r="K66" s="2" t="s">
        <v>588</v>
      </c>
      <c r="L66" s="2" t="s">
        <v>432</v>
      </c>
      <c r="M66" s="2" t="s">
        <v>434</v>
      </c>
      <c r="N66" s="2" t="s">
        <v>497</v>
      </c>
      <c r="Q66" s="5">
        <f t="shared" si="1"/>
        <v>44863.708333333336</v>
      </c>
      <c r="R66" t="s">
        <v>12</v>
      </c>
      <c r="S66">
        <v>11</v>
      </c>
      <c r="T66" t="s">
        <v>124</v>
      </c>
      <c r="U66">
        <v>43</v>
      </c>
      <c r="V66" t="s">
        <v>129</v>
      </c>
      <c r="W66" t="s">
        <v>130</v>
      </c>
      <c r="X66">
        <v>43.300239259999998</v>
      </c>
      <c r="Y66">
        <v>13.45307182</v>
      </c>
      <c r="Z66">
        <f t="shared" ref="Z66:Z129" si="2">SUMIFS(J:J,F:F,V66,D:D,T66)</f>
        <v>130095</v>
      </c>
    </row>
    <row r="67" spans="1:27">
      <c r="A67" s="1">
        <v>44863.708333333336</v>
      </c>
      <c r="B67" s="2" t="s">
        <v>12</v>
      </c>
      <c r="C67">
        <v>3</v>
      </c>
      <c r="D67" s="2" t="s">
        <v>99</v>
      </c>
      <c r="E67">
        <v>108</v>
      </c>
      <c r="F67" s="2" t="s">
        <v>122</v>
      </c>
      <c r="G67" s="2" t="s">
        <v>123</v>
      </c>
      <c r="H67">
        <v>4558439043</v>
      </c>
      <c r="I67">
        <v>9273582472</v>
      </c>
      <c r="J67">
        <v>339491</v>
      </c>
      <c r="K67" s="2" t="s">
        <v>588</v>
      </c>
      <c r="L67" s="2" t="s">
        <v>432</v>
      </c>
      <c r="M67" s="2" t="s">
        <v>434</v>
      </c>
      <c r="N67" s="2" t="s">
        <v>498</v>
      </c>
      <c r="Q67" s="5">
        <f t="shared" si="1"/>
        <v>44863.708333333336</v>
      </c>
      <c r="R67" t="s">
        <v>12</v>
      </c>
      <c r="S67">
        <v>11</v>
      </c>
      <c r="T67" t="s">
        <v>124</v>
      </c>
      <c r="U67">
        <v>41</v>
      </c>
      <c r="V67" t="s">
        <v>125</v>
      </c>
      <c r="W67" t="s">
        <v>126</v>
      </c>
      <c r="X67">
        <v>43.910140210000002</v>
      </c>
      <c r="Y67">
        <v>12.91345989</v>
      </c>
      <c r="Z67">
        <f t="shared" si="2"/>
        <v>125318</v>
      </c>
    </row>
    <row r="68" spans="1:27">
      <c r="A68" s="1">
        <v>44863.708333333336</v>
      </c>
      <c r="B68" s="2" t="s">
        <v>12</v>
      </c>
      <c r="C68">
        <v>3</v>
      </c>
      <c r="D68" s="2" t="s">
        <v>99</v>
      </c>
      <c r="E68">
        <v>888</v>
      </c>
      <c r="F68" s="2" t="s">
        <v>22</v>
      </c>
      <c r="G68" s="2" t="s">
        <v>588</v>
      </c>
      <c r="J68">
        <v>24640</v>
      </c>
      <c r="K68" s="2" t="s">
        <v>588</v>
      </c>
      <c r="L68" s="2" t="s">
        <v>432</v>
      </c>
      <c r="M68" s="2" t="s">
        <v>434</v>
      </c>
      <c r="N68" s="2" t="s">
        <v>588</v>
      </c>
      <c r="Q68" s="5">
        <f t="shared" ref="Q68:Q129" si="3">Q$2</f>
        <v>44863.708333333336</v>
      </c>
      <c r="R68" t="s">
        <v>12</v>
      </c>
      <c r="S68">
        <v>11</v>
      </c>
      <c r="T68" t="s">
        <v>124</v>
      </c>
      <c r="U68">
        <v>989</v>
      </c>
      <c r="V68" t="s">
        <v>264</v>
      </c>
      <c r="X68">
        <v>0</v>
      </c>
      <c r="Y68">
        <v>0</v>
      </c>
      <c r="Z68">
        <f t="shared" si="2"/>
        <v>0</v>
      </c>
      <c r="AA68">
        <f>SUMIFS(J:J,F:F,"Fuori Regione / Provincia Autonoma",D:D,T68)</f>
        <v>30528</v>
      </c>
    </row>
    <row r="69" spans="1:27">
      <c r="A69" s="1">
        <v>44863.708333333336</v>
      </c>
      <c r="B69" s="2" t="s">
        <v>12</v>
      </c>
      <c r="C69">
        <v>3</v>
      </c>
      <c r="D69" s="2" t="s">
        <v>99</v>
      </c>
      <c r="E69">
        <v>988</v>
      </c>
      <c r="F69" s="2" t="s">
        <v>23</v>
      </c>
      <c r="G69" s="2" t="s">
        <v>588</v>
      </c>
      <c r="J69">
        <v>94252</v>
      </c>
      <c r="K69" s="2" t="s">
        <v>588</v>
      </c>
      <c r="L69" s="2" t="s">
        <v>432</v>
      </c>
      <c r="M69" s="2" t="s">
        <v>434</v>
      </c>
      <c r="N69" s="2" t="s">
        <v>588</v>
      </c>
      <c r="Q69" s="5">
        <f t="shared" si="3"/>
        <v>44863.708333333336</v>
      </c>
      <c r="R69" t="s">
        <v>12</v>
      </c>
      <c r="S69">
        <v>14</v>
      </c>
      <c r="T69" t="s">
        <v>135</v>
      </c>
      <c r="U69">
        <v>70</v>
      </c>
      <c r="V69" t="s">
        <v>136</v>
      </c>
      <c r="W69" t="s">
        <v>137</v>
      </c>
      <c r="X69">
        <v>41.557747540000001</v>
      </c>
      <c r="Y69">
        <v>14.65916051</v>
      </c>
      <c r="Z69">
        <f t="shared" si="2"/>
        <v>69158</v>
      </c>
    </row>
    <row r="70" spans="1:27">
      <c r="A70" s="1">
        <v>44863.708333333336</v>
      </c>
      <c r="B70" s="2" t="s">
        <v>12</v>
      </c>
      <c r="C70">
        <v>11</v>
      </c>
      <c r="D70" s="2" t="s">
        <v>124</v>
      </c>
      <c r="E70">
        <v>41</v>
      </c>
      <c r="F70" s="2" t="s">
        <v>125</v>
      </c>
      <c r="G70" s="2" t="s">
        <v>126</v>
      </c>
      <c r="H70">
        <v>4391014021</v>
      </c>
      <c r="I70">
        <v>1291345989</v>
      </c>
      <c r="J70">
        <v>125318</v>
      </c>
      <c r="K70" s="2" t="s">
        <v>588</v>
      </c>
      <c r="L70" s="2" t="s">
        <v>430</v>
      </c>
      <c r="M70" s="2" t="s">
        <v>435</v>
      </c>
      <c r="N70" s="2" t="s">
        <v>499</v>
      </c>
      <c r="Q70" s="5">
        <f t="shared" si="3"/>
        <v>44863.708333333336</v>
      </c>
      <c r="R70" t="s">
        <v>12</v>
      </c>
      <c r="S70">
        <v>14</v>
      </c>
      <c r="T70" t="s">
        <v>135</v>
      </c>
      <c r="U70">
        <v>94</v>
      </c>
      <c r="V70" t="s">
        <v>138</v>
      </c>
      <c r="W70" t="s">
        <v>139</v>
      </c>
      <c r="X70">
        <v>41.588008260000002</v>
      </c>
      <c r="Y70">
        <v>14.225754070000001</v>
      </c>
      <c r="Z70">
        <f t="shared" si="2"/>
        <v>24452</v>
      </c>
    </row>
    <row r="71" spans="1:27">
      <c r="A71" s="1">
        <v>44863.708333333336</v>
      </c>
      <c r="B71" s="2" t="s">
        <v>12</v>
      </c>
      <c r="C71">
        <v>11</v>
      </c>
      <c r="D71" s="2" t="s">
        <v>124</v>
      </c>
      <c r="E71">
        <v>42</v>
      </c>
      <c r="F71" s="2" t="s">
        <v>127</v>
      </c>
      <c r="G71" s="2" t="s">
        <v>128</v>
      </c>
      <c r="H71">
        <v>4361675973</v>
      </c>
      <c r="I71">
        <v>135188753</v>
      </c>
      <c r="J71">
        <v>197028</v>
      </c>
      <c r="K71" s="2" t="s">
        <v>588</v>
      </c>
      <c r="L71" s="2" t="s">
        <v>430</v>
      </c>
      <c r="M71" s="2" t="s">
        <v>435</v>
      </c>
      <c r="N71" s="2" t="s">
        <v>500</v>
      </c>
      <c r="Q71" s="5">
        <f t="shared" si="3"/>
        <v>44863.708333333336</v>
      </c>
      <c r="R71" t="s">
        <v>12</v>
      </c>
      <c r="S71">
        <v>14</v>
      </c>
      <c r="T71" t="s">
        <v>135</v>
      </c>
      <c r="U71">
        <v>990</v>
      </c>
      <c r="V71" t="s">
        <v>264</v>
      </c>
      <c r="X71">
        <v>0</v>
      </c>
      <c r="Y71">
        <v>0</v>
      </c>
      <c r="Z71">
        <f t="shared" si="2"/>
        <v>0</v>
      </c>
      <c r="AA71">
        <f>SUMIFS(J:J,F:F,"Fuori Regione / Provincia Autonoma",D:D,T71)</f>
        <v>147</v>
      </c>
    </row>
    <row r="72" spans="1:27">
      <c r="A72" s="1">
        <v>44863.708333333336</v>
      </c>
      <c r="B72" s="2" t="s">
        <v>12</v>
      </c>
      <c r="C72">
        <v>11</v>
      </c>
      <c r="D72" s="2" t="s">
        <v>124</v>
      </c>
      <c r="E72">
        <v>43</v>
      </c>
      <c r="F72" s="2" t="s">
        <v>129</v>
      </c>
      <c r="G72" s="2" t="s">
        <v>130</v>
      </c>
      <c r="H72">
        <v>4330023926</v>
      </c>
      <c r="I72">
        <v>1345307182</v>
      </c>
      <c r="J72">
        <v>130095</v>
      </c>
      <c r="K72" s="2" t="s">
        <v>588</v>
      </c>
      <c r="L72" s="2" t="s">
        <v>430</v>
      </c>
      <c r="M72" s="2" t="s">
        <v>435</v>
      </c>
      <c r="N72" s="2" t="s">
        <v>501</v>
      </c>
      <c r="Q72" s="5">
        <f t="shared" si="3"/>
        <v>44863.708333333336</v>
      </c>
      <c r="R72" t="s">
        <v>12</v>
      </c>
      <c r="S72">
        <v>1</v>
      </c>
      <c r="T72" t="s">
        <v>146</v>
      </c>
      <c r="U72">
        <v>6</v>
      </c>
      <c r="V72" t="s">
        <v>157</v>
      </c>
      <c r="W72" t="s">
        <v>158</v>
      </c>
      <c r="X72">
        <v>44.91297351</v>
      </c>
      <c r="Y72">
        <v>8.6154011550000007</v>
      </c>
      <c r="Z72">
        <f t="shared" si="2"/>
        <v>142183</v>
      </c>
    </row>
    <row r="73" spans="1:27">
      <c r="A73" s="1">
        <v>44863.708333333336</v>
      </c>
      <c r="B73" s="2" t="s">
        <v>12</v>
      </c>
      <c r="C73">
        <v>11</v>
      </c>
      <c r="D73" s="2" t="s">
        <v>124</v>
      </c>
      <c r="E73">
        <v>44</v>
      </c>
      <c r="F73" s="2" t="s">
        <v>131</v>
      </c>
      <c r="G73" s="2" t="s">
        <v>132</v>
      </c>
      <c r="H73">
        <v>4285322304</v>
      </c>
      <c r="I73">
        <v>1357691127</v>
      </c>
      <c r="J73">
        <v>93659</v>
      </c>
      <c r="K73" s="2" t="s">
        <v>588</v>
      </c>
      <c r="L73" s="2" t="s">
        <v>430</v>
      </c>
      <c r="M73" s="2" t="s">
        <v>435</v>
      </c>
      <c r="N73" s="2" t="s">
        <v>502</v>
      </c>
      <c r="Q73" s="5">
        <f t="shared" si="3"/>
        <v>44863.708333333336</v>
      </c>
      <c r="R73" t="s">
        <v>12</v>
      </c>
      <c r="S73">
        <v>1</v>
      </c>
      <c r="T73" t="s">
        <v>146</v>
      </c>
      <c r="U73">
        <v>5</v>
      </c>
      <c r="V73" t="s">
        <v>155</v>
      </c>
      <c r="W73" t="s">
        <v>156</v>
      </c>
      <c r="X73">
        <v>44.899129209999998</v>
      </c>
      <c r="Y73">
        <v>8.204142547</v>
      </c>
      <c r="Z73">
        <f t="shared" si="2"/>
        <v>74002</v>
      </c>
    </row>
    <row r="74" spans="1:27">
      <c r="A74" s="1">
        <v>44863.708333333336</v>
      </c>
      <c r="B74" s="2" t="s">
        <v>12</v>
      </c>
      <c r="C74">
        <v>11</v>
      </c>
      <c r="D74" s="2" t="s">
        <v>124</v>
      </c>
      <c r="E74">
        <v>109</v>
      </c>
      <c r="F74" s="2" t="s">
        <v>133</v>
      </c>
      <c r="G74" s="2" t="s">
        <v>134</v>
      </c>
      <c r="H74">
        <v>4316058534</v>
      </c>
      <c r="I74">
        <v>1371839535</v>
      </c>
      <c r="J74">
        <v>76569</v>
      </c>
      <c r="K74" s="2" t="s">
        <v>588</v>
      </c>
      <c r="L74" s="2" t="s">
        <v>430</v>
      </c>
      <c r="M74" s="2" t="s">
        <v>435</v>
      </c>
      <c r="N74" s="2" t="s">
        <v>503</v>
      </c>
      <c r="Q74" s="5">
        <f t="shared" si="3"/>
        <v>44863.708333333336</v>
      </c>
      <c r="R74" t="s">
        <v>12</v>
      </c>
      <c r="S74">
        <v>1</v>
      </c>
      <c r="T74" t="s">
        <v>146</v>
      </c>
      <c r="U74">
        <v>96</v>
      </c>
      <c r="V74" t="s">
        <v>159</v>
      </c>
      <c r="W74" t="s">
        <v>160</v>
      </c>
      <c r="X74">
        <v>45.566511200000001</v>
      </c>
      <c r="Y74">
        <v>8.0540821670000007</v>
      </c>
      <c r="Z74">
        <f t="shared" si="2"/>
        <v>64328</v>
      </c>
    </row>
    <row r="75" spans="1:27">
      <c r="A75" s="1">
        <v>44863.708333333336</v>
      </c>
      <c r="B75" s="2" t="s">
        <v>12</v>
      </c>
      <c r="C75">
        <v>11</v>
      </c>
      <c r="D75" s="2" t="s">
        <v>124</v>
      </c>
      <c r="E75">
        <v>889</v>
      </c>
      <c r="F75" s="2" t="s">
        <v>22</v>
      </c>
      <c r="G75" s="2" t="s">
        <v>588</v>
      </c>
      <c r="J75">
        <v>30528</v>
      </c>
      <c r="K75" s="2" t="s">
        <v>588</v>
      </c>
      <c r="L75" s="2" t="s">
        <v>430</v>
      </c>
      <c r="M75" s="2" t="s">
        <v>435</v>
      </c>
      <c r="N75" s="2" t="s">
        <v>588</v>
      </c>
      <c r="Q75" s="5">
        <f t="shared" si="3"/>
        <v>44863.708333333336</v>
      </c>
      <c r="R75" t="s">
        <v>12</v>
      </c>
      <c r="S75">
        <v>1</v>
      </c>
      <c r="T75" t="s">
        <v>146</v>
      </c>
      <c r="U75">
        <v>4</v>
      </c>
      <c r="V75" t="s">
        <v>153</v>
      </c>
      <c r="W75" t="s">
        <v>154</v>
      </c>
      <c r="X75">
        <v>44.393296249999999</v>
      </c>
      <c r="Y75">
        <v>7.551171632</v>
      </c>
      <c r="Z75">
        <f t="shared" si="2"/>
        <v>198267</v>
      </c>
    </row>
    <row r="76" spans="1:27">
      <c r="A76" s="1">
        <v>44863.708333333336</v>
      </c>
      <c r="B76" s="2" t="s">
        <v>12</v>
      </c>
      <c r="C76">
        <v>11</v>
      </c>
      <c r="D76" s="2" t="s">
        <v>124</v>
      </c>
      <c r="E76">
        <v>989</v>
      </c>
      <c r="F76" s="2" t="s">
        <v>23</v>
      </c>
      <c r="G76" s="2" t="s">
        <v>588</v>
      </c>
      <c r="J76">
        <v>0</v>
      </c>
      <c r="K76" s="2" t="s">
        <v>588</v>
      </c>
      <c r="L76" s="2" t="s">
        <v>430</v>
      </c>
      <c r="M76" s="2" t="s">
        <v>435</v>
      </c>
      <c r="N76" s="2" t="s">
        <v>588</v>
      </c>
      <c r="Q76" s="5">
        <f t="shared" si="3"/>
        <v>44863.708333333336</v>
      </c>
      <c r="R76" t="s">
        <v>12</v>
      </c>
      <c r="S76">
        <v>1</v>
      </c>
      <c r="T76" t="s">
        <v>146</v>
      </c>
      <c r="U76">
        <v>3</v>
      </c>
      <c r="V76" t="s">
        <v>151</v>
      </c>
      <c r="W76" t="s">
        <v>152</v>
      </c>
      <c r="X76">
        <v>45.445885060000002</v>
      </c>
      <c r="Y76">
        <v>8.6219158839999999</v>
      </c>
      <c r="Z76">
        <f t="shared" si="2"/>
        <v>120760</v>
      </c>
    </row>
    <row r="77" spans="1:27">
      <c r="A77" s="1">
        <v>44863.708333333336</v>
      </c>
      <c r="B77" s="2" t="s">
        <v>12</v>
      </c>
      <c r="C77">
        <v>14</v>
      </c>
      <c r="D77" s="2" t="s">
        <v>135</v>
      </c>
      <c r="E77">
        <v>70</v>
      </c>
      <c r="F77" s="2" t="s">
        <v>136</v>
      </c>
      <c r="G77" s="2" t="s">
        <v>137</v>
      </c>
      <c r="H77">
        <v>4155774754</v>
      </c>
      <c r="I77">
        <v>1465916051</v>
      </c>
      <c r="J77">
        <v>69158</v>
      </c>
      <c r="K77" s="2" t="s">
        <v>588</v>
      </c>
      <c r="L77" s="2" t="s">
        <v>423</v>
      </c>
      <c r="M77" s="2" t="s">
        <v>436</v>
      </c>
      <c r="N77" s="2" t="s">
        <v>504</v>
      </c>
      <c r="Q77" s="5">
        <f t="shared" si="3"/>
        <v>44863.708333333336</v>
      </c>
      <c r="R77" t="s">
        <v>12</v>
      </c>
      <c r="S77">
        <v>1</v>
      </c>
      <c r="T77" t="s">
        <v>146</v>
      </c>
      <c r="U77">
        <v>1</v>
      </c>
      <c r="V77" t="s">
        <v>147</v>
      </c>
      <c r="W77" t="s">
        <v>148</v>
      </c>
      <c r="X77">
        <v>45.073274499999997</v>
      </c>
      <c r="Y77">
        <v>7.6806874829999998</v>
      </c>
      <c r="Z77">
        <f t="shared" si="2"/>
        <v>837988</v>
      </c>
    </row>
    <row r="78" spans="1:27">
      <c r="A78" s="1">
        <v>44863.708333333336</v>
      </c>
      <c r="B78" s="2" t="s">
        <v>12</v>
      </c>
      <c r="C78">
        <v>14</v>
      </c>
      <c r="D78" s="2" t="s">
        <v>135</v>
      </c>
      <c r="E78">
        <v>94</v>
      </c>
      <c r="F78" s="2" t="s">
        <v>138</v>
      </c>
      <c r="G78" s="2" t="s">
        <v>139</v>
      </c>
      <c r="H78">
        <v>4158800826</v>
      </c>
      <c r="I78">
        <v>1422575407</v>
      </c>
      <c r="J78">
        <v>24452</v>
      </c>
      <c r="K78" s="2" t="s">
        <v>588</v>
      </c>
      <c r="L78" s="2" t="s">
        <v>423</v>
      </c>
      <c r="M78" s="2" t="s">
        <v>436</v>
      </c>
      <c r="N78" s="2" t="s">
        <v>505</v>
      </c>
      <c r="Q78" s="5">
        <f t="shared" si="3"/>
        <v>44863.708333333336</v>
      </c>
      <c r="R78" t="s">
        <v>12</v>
      </c>
      <c r="S78">
        <v>1</v>
      </c>
      <c r="T78" t="s">
        <v>146</v>
      </c>
      <c r="U78">
        <v>103</v>
      </c>
      <c r="V78" t="s">
        <v>161</v>
      </c>
      <c r="W78" t="s">
        <v>162</v>
      </c>
      <c r="X78">
        <v>45.921445499999997</v>
      </c>
      <c r="Y78">
        <v>8.5510787529999899</v>
      </c>
      <c r="Z78">
        <f t="shared" si="2"/>
        <v>58400</v>
      </c>
    </row>
    <row r="79" spans="1:27">
      <c r="A79" s="1">
        <v>44863.708333333336</v>
      </c>
      <c r="B79" s="2" t="s">
        <v>12</v>
      </c>
      <c r="C79">
        <v>14</v>
      </c>
      <c r="D79" s="2" t="s">
        <v>135</v>
      </c>
      <c r="E79">
        <v>890</v>
      </c>
      <c r="F79" s="2" t="s">
        <v>22</v>
      </c>
      <c r="G79" s="2" t="s">
        <v>588</v>
      </c>
      <c r="J79">
        <v>147</v>
      </c>
      <c r="K79" s="2" t="s">
        <v>588</v>
      </c>
      <c r="L79" s="2" t="s">
        <v>423</v>
      </c>
      <c r="M79" s="2" t="s">
        <v>436</v>
      </c>
      <c r="N79" s="2" t="s">
        <v>588</v>
      </c>
      <c r="Q79" s="5">
        <f t="shared" si="3"/>
        <v>44863.708333333336</v>
      </c>
      <c r="R79" t="s">
        <v>12</v>
      </c>
      <c r="S79">
        <v>1</v>
      </c>
      <c r="T79" t="s">
        <v>146</v>
      </c>
      <c r="U79">
        <v>2</v>
      </c>
      <c r="V79" t="s">
        <v>149</v>
      </c>
      <c r="W79" t="s">
        <v>150</v>
      </c>
      <c r="X79">
        <v>45.323981349999997</v>
      </c>
      <c r="Y79">
        <v>8.4232343119999999</v>
      </c>
      <c r="Z79">
        <f t="shared" si="2"/>
        <v>57010</v>
      </c>
    </row>
    <row r="80" spans="1:27">
      <c r="A80" s="1">
        <v>44863.708333333336</v>
      </c>
      <c r="B80" s="2" t="s">
        <v>12</v>
      </c>
      <c r="C80">
        <v>14</v>
      </c>
      <c r="D80" s="2" t="s">
        <v>135</v>
      </c>
      <c r="E80">
        <v>990</v>
      </c>
      <c r="F80" s="2" t="s">
        <v>23</v>
      </c>
      <c r="G80" s="2" t="s">
        <v>588</v>
      </c>
      <c r="J80">
        <v>0</v>
      </c>
      <c r="K80" s="2" t="s">
        <v>588</v>
      </c>
      <c r="L80" s="2" t="s">
        <v>423</v>
      </c>
      <c r="M80" s="2" t="s">
        <v>436</v>
      </c>
      <c r="N80" s="2" t="s">
        <v>588</v>
      </c>
      <c r="Q80" s="5">
        <f t="shared" si="3"/>
        <v>44863.708333333336</v>
      </c>
      <c r="R80" t="s">
        <v>12</v>
      </c>
      <c r="S80">
        <v>1</v>
      </c>
      <c r="T80" t="s">
        <v>146</v>
      </c>
      <c r="U80">
        <v>991</v>
      </c>
      <c r="V80" t="s">
        <v>264</v>
      </c>
      <c r="X80">
        <v>0</v>
      </c>
      <c r="Y80">
        <v>0</v>
      </c>
      <c r="Z80">
        <f t="shared" si="2"/>
        <v>0</v>
      </c>
      <c r="AA80">
        <f>SUMIFS(J:J,F:F,"Fuori Regione / Provincia Autonoma",D:D,T80)</f>
        <v>8112</v>
      </c>
    </row>
    <row r="81" spans="1:27">
      <c r="A81" s="1">
        <v>44863.708333333336</v>
      </c>
      <c r="B81" s="2" t="s">
        <v>12</v>
      </c>
      <c r="C81">
        <v>4</v>
      </c>
      <c r="D81" s="2" t="s">
        <v>140</v>
      </c>
      <c r="E81">
        <v>21</v>
      </c>
      <c r="F81" s="2" t="s">
        <v>141</v>
      </c>
      <c r="G81" s="2" t="s">
        <v>142</v>
      </c>
      <c r="H81">
        <v>4649933453</v>
      </c>
      <c r="I81">
        <v>1135662422</v>
      </c>
      <c r="J81">
        <v>264225</v>
      </c>
      <c r="K81" s="2" t="s">
        <v>588</v>
      </c>
      <c r="L81" s="2" t="s">
        <v>427</v>
      </c>
      <c r="M81" s="2" t="s">
        <v>440</v>
      </c>
      <c r="N81" s="2" t="s">
        <v>506</v>
      </c>
      <c r="Q81" s="5">
        <f t="shared" si="3"/>
        <v>44863.708333333336</v>
      </c>
      <c r="R81" t="s">
        <v>12</v>
      </c>
      <c r="S81">
        <v>16</v>
      </c>
      <c r="T81" t="s">
        <v>163</v>
      </c>
      <c r="U81">
        <v>72</v>
      </c>
      <c r="V81" t="s">
        <v>166</v>
      </c>
      <c r="W81" t="s">
        <v>167</v>
      </c>
      <c r="X81">
        <v>41.125595760000003</v>
      </c>
      <c r="Y81">
        <v>16.86736689</v>
      </c>
      <c r="Z81">
        <f t="shared" si="2"/>
        <v>488792</v>
      </c>
    </row>
    <row r="82" spans="1:27">
      <c r="A82" s="1">
        <v>44863.708333333336</v>
      </c>
      <c r="B82" s="2" t="s">
        <v>12</v>
      </c>
      <c r="C82">
        <v>4</v>
      </c>
      <c r="D82" s="2" t="s">
        <v>140</v>
      </c>
      <c r="E82">
        <v>881</v>
      </c>
      <c r="F82" s="2" t="s">
        <v>22</v>
      </c>
      <c r="G82" s="2" t="s">
        <v>588</v>
      </c>
      <c r="J82">
        <v>17317</v>
      </c>
      <c r="K82" s="2" t="s">
        <v>588</v>
      </c>
      <c r="L82" s="2" t="s">
        <v>427</v>
      </c>
      <c r="M82" s="2" t="s">
        <v>440</v>
      </c>
      <c r="N82" s="2" t="s">
        <v>588</v>
      </c>
      <c r="Q82" s="5">
        <f t="shared" si="3"/>
        <v>44863.708333333336</v>
      </c>
      <c r="R82" t="s">
        <v>12</v>
      </c>
      <c r="S82">
        <v>16</v>
      </c>
      <c r="T82" t="s">
        <v>163</v>
      </c>
      <c r="U82">
        <v>110</v>
      </c>
      <c r="V82" t="s">
        <v>174</v>
      </c>
      <c r="W82" t="s">
        <v>175</v>
      </c>
      <c r="X82">
        <v>41.227050390000002</v>
      </c>
      <c r="Y82">
        <v>16.29520432</v>
      </c>
      <c r="Z82">
        <f t="shared" si="2"/>
        <v>129304</v>
      </c>
    </row>
    <row r="83" spans="1:27">
      <c r="A83" s="1">
        <v>44863.708333333336</v>
      </c>
      <c r="B83" s="2" t="s">
        <v>12</v>
      </c>
      <c r="C83">
        <v>4</v>
      </c>
      <c r="D83" s="2" t="s">
        <v>140</v>
      </c>
      <c r="E83">
        <v>981</v>
      </c>
      <c r="F83" s="2" t="s">
        <v>23</v>
      </c>
      <c r="G83" s="2" t="s">
        <v>588</v>
      </c>
      <c r="J83">
        <v>0</v>
      </c>
      <c r="K83" s="2" t="s">
        <v>588</v>
      </c>
      <c r="L83" s="2" t="s">
        <v>427</v>
      </c>
      <c r="M83" s="2" t="s">
        <v>440</v>
      </c>
      <c r="N83" s="2" t="s">
        <v>588</v>
      </c>
      <c r="Q83" s="5">
        <f t="shared" si="3"/>
        <v>44863.708333333336</v>
      </c>
      <c r="R83" t="s">
        <v>12</v>
      </c>
      <c r="S83">
        <v>16</v>
      </c>
      <c r="T83" t="s">
        <v>163</v>
      </c>
      <c r="U83">
        <v>74</v>
      </c>
      <c r="V83" t="s">
        <v>170</v>
      </c>
      <c r="W83" t="s">
        <v>171</v>
      </c>
      <c r="X83">
        <v>40.638485449999997</v>
      </c>
      <c r="Y83">
        <v>17.946015750000001</v>
      </c>
      <c r="Z83">
        <f t="shared" si="2"/>
        <v>144244</v>
      </c>
    </row>
    <row r="84" spans="1:27">
      <c r="A84" s="1">
        <v>44863.708333333336</v>
      </c>
      <c r="B84" s="2" t="s">
        <v>12</v>
      </c>
      <c r="C84">
        <v>4</v>
      </c>
      <c r="D84" s="2" t="s">
        <v>143</v>
      </c>
      <c r="E84">
        <v>22</v>
      </c>
      <c r="F84" s="2" t="s">
        <v>144</v>
      </c>
      <c r="G84" s="2" t="s">
        <v>145</v>
      </c>
      <c r="H84">
        <v>4606893511</v>
      </c>
      <c r="I84">
        <v>1112123097</v>
      </c>
      <c r="J84">
        <v>229481</v>
      </c>
      <c r="K84" s="2" t="s">
        <v>588</v>
      </c>
      <c r="L84" s="2" t="s">
        <v>427</v>
      </c>
      <c r="M84" s="2" t="s">
        <v>441</v>
      </c>
      <c r="N84" s="2" t="s">
        <v>507</v>
      </c>
      <c r="Q84" s="5">
        <f t="shared" si="3"/>
        <v>44863.708333333336</v>
      </c>
      <c r="R84" t="s">
        <v>12</v>
      </c>
      <c r="S84">
        <v>16</v>
      </c>
      <c r="T84" t="s">
        <v>163</v>
      </c>
      <c r="U84">
        <v>71</v>
      </c>
      <c r="V84" t="s">
        <v>164</v>
      </c>
      <c r="W84" t="s">
        <v>165</v>
      </c>
      <c r="X84">
        <v>41.462268649999999</v>
      </c>
      <c r="Y84">
        <v>15.543050940000001</v>
      </c>
      <c r="Z84">
        <f t="shared" si="2"/>
        <v>212972</v>
      </c>
    </row>
    <row r="85" spans="1:27">
      <c r="A85" s="1">
        <v>44863.708333333336</v>
      </c>
      <c r="B85" s="2" t="s">
        <v>12</v>
      </c>
      <c r="C85">
        <v>4</v>
      </c>
      <c r="D85" s="2" t="s">
        <v>143</v>
      </c>
      <c r="E85">
        <v>896</v>
      </c>
      <c r="F85" s="2" t="s">
        <v>22</v>
      </c>
      <c r="G85" s="2" t="s">
        <v>588</v>
      </c>
      <c r="J85">
        <v>0</v>
      </c>
      <c r="K85" s="2" t="s">
        <v>588</v>
      </c>
      <c r="L85" s="2" t="s">
        <v>427</v>
      </c>
      <c r="M85" s="2" t="s">
        <v>441</v>
      </c>
      <c r="N85" s="2" t="s">
        <v>588</v>
      </c>
      <c r="Q85" s="5">
        <f t="shared" si="3"/>
        <v>44863.708333333336</v>
      </c>
      <c r="R85" t="s">
        <v>12</v>
      </c>
      <c r="S85">
        <v>16</v>
      </c>
      <c r="T85" t="s">
        <v>163</v>
      </c>
      <c r="U85">
        <v>75</v>
      </c>
      <c r="V85" t="s">
        <v>172</v>
      </c>
      <c r="W85" t="s">
        <v>173</v>
      </c>
      <c r="X85">
        <v>40.353542849999997</v>
      </c>
      <c r="Y85">
        <v>18.171897300000001</v>
      </c>
      <c r="Z85">
        <f t="shared" si="2"/>
        <v>315286</v>
      </c>
    </row>
    <row r="86" spans="1:27">
      <c r="A86" s="1">
        <v>44863.708333333336</v>
      </c>
      <c r="B86" s="2" t="s">
        <v>12</v>
      </c>
      <c r="C86">
        <v>4</v>
      </c>
      <c r="D86" s="2" t="s">
        <v>143</v>
      </c>
      <c r="E86">
        <v>996</v>
      </c>
      <c r="F86" s="2" t="s">
        <v>23</v>
      </c>
      <c r="G86" s="2" t="s">
        <v>588</v>
      </c>
      <c r="J86">
        <v>0</v>
      </c>
      <c r="K86" s="2" t="s">
        <v>588</v>
      </c>
      <c r="L86" s="2" t="s">
        <v>427</v>
      </c>
      <c r="M86" s="2" t="s">
        <v>441</v>
      </c>
      <c r="N86" s="2" t="s">
        <v>588</v>
      </c>
      <c r="Q86" s="5">
        <f t="shared" si="3"/>
        <v>44863.708333333336</v>
      </c>
      <c r="R86" t="s">
        <v>12</v>
      </c>
      <c r="S86">
        <v>16</v>
      </c>
      <c r="T86" t="s">
        <v>163</v>
      </c>
      <c r="U86">
        <v>73</v>
      </c>
      <c r="V86" t="s">
        <v>168</v>
      </c>
      <c r="W86" t="s">
        <v>169</v>
      </c>
      <c r="X86">
        <v>40.47354739</v>
      </c>
      <c r="Y86">
        <v>17.23237181</v>
      </c>
      <c r="Z86">
        <f t="shared" si="2"/>
        <v>205577</v>
      </c>
    </row>
    <row r="87" spans="1:27">
      <c r="A87" s="1">
        <v>44863.708333333336</v>
      </c>
      <c r="B87" s="2" t="s">
        <v>12</v>
      </c>
      <c r="C87">
        <v>1</v>
      </c>
      <c r="D87" s="2" t="s">
        <v>146</v>
      </c>
      <c r="E87">
        <v>1</v>
      </c>
      <c r="F87" s="2" t="s">
        <v>147</v>
      </c>
      <c r="G87" s="2" t="s">
        <v>148</v>
      </c>
      <c r="H87">
        <v>450732745</v>
      </c>
      <c r="I87">
        <v>7680687483</v>
      </c>
      <c r="J87">
        <v>837988</v>
      </c>
      <c r="K87" s="2" t="s">
        <v>588</v>
      </c>
      <c r="L87" s="2" t="s">
        <v>432</v>
      </c>
      <c r="M87" s="2" t="s">
        <v>437</v>
      </c>
      <c r="N87" s="2" t="s">
        <v>508</v>
      </c>
      <c r="Q87" s="5">
        <f t="shared" si="3"/>
        <v>44863.708333333336</v>
      </c>
      <c r="R87" t="s">
        <v>12</v>
      </c>
      <c r="S87">
        <v>16</v>
      </c>
      <c r="T87" t="s">
        <v>163</v>
      </c>
      <c r="U87">
        <v>992</v>
      </c>
      <c r="V87" t="s">
        <v>264</v>
      </c>
      <c r="X87">
        <v>0</v>
      </c>
      <c r="Y87">
        <v>0</v>
      </c>
      <c r="Z87">
        <f t="shared" si="2"/>
        <v>0</v>
      </c>
      <c r="AA87">
        <f>SUMIFS(J:J,F:F,"Fuori Regione / Provincia Autonoma",D:D,T87)</f>
        <v>15982</v>
      </c>
    </row>
    <row r="88" spans="1:27">
      <c r="A88" s="1">
        <v>44863.708333333336</v>
      </c>
      <c r="B88" s="2" t="s">
        <v>12</v>
      </c>
      <c r="C88">
        <v>1</v>
      </c>
      <c r="D88" s="2" t="s">
        <v>146</v>
      </c>
      <c r="E88">
        <v>2</v>
      </c>
      <c r="F88" s="2" t="s">
        <v>149</v>
      </c>
      <c r="G88" s="2" t="s">
        <v>150</v>
      </c>
      <c r="H88">
        <v>4532398135</v>
      </c>
      <c r="I88">
        <v>8423234312</v>
      </c>
      <c r="J88">
        <v>57010</v>
      </c>
      <c r="K88" s="2" t="s">
        <v>588</v>
      </c>
      <c r="L88" s="2" t="s">
        <v>432</v>
      </c>
      <c r="M88" s="2" t="s">
        <v>437</v>
      </c>
      <c r="N88" s="2" t="s">
        <v>509</v>
      </c>
      <c r="Q88" s="5">
        <f t="shared" si="3"/>
        <v>44863.708333333336</v>
      </c>
      <c r="R88" t="s">
        <v>12</v>
      </c>
      <c r="S88">
        <v>20</v>
      </c>
      <c r="T88" t="s">
        <v>176</v>
      </c>
      <c r="U88">
        <v>92</v>
      </c>
      <c r="V88" t="s">
        <v>181</v>
      </c>
      <c r="W88" t="s">
        <v>182</v>
      </c>
      <c r="X88">
        <v>39.215311919999998</v>
      </c>
      <c r="Y88">
        <v>9.1106163060000007</v>
      </c>
      <c r="Z88">
        <f t="shared" si="2"/>
        <v>136085</v>
      </c>
    </row>
    <row r="89" spans="1:27">
      <c r="A89" s="1">
        <v>44863.708333333336</v>
      </c>
      <c r="B89" s="2" t="s">
        <v>12</v>
      </c>
      <c r="C89">
        <v>1</v>
      </c>
      <c r="D89" s="2" t="s">
        <v>146</v>
      </c>
      <c r="E89">
        <v>3</v>
      </c>
      <c r="F89" s="2" t="s">
        <v>151</v>
      </c>
      <c r="G89" s="2" t="s">
        <v>152</v>
      </c>
      <c r="H89">
        <v>4544588506</v>
      </c>
      <c r="I89">
        <v>8621915884</v>
      </c>
      <c r="J89">
        <v>120760</v>
      </c>
      <c r="K89" s="2" t="s">
        <v>588</v>
      </c>
      <c r="L89" s="2" t="s">
        <v>432</v>
      </c>
      <c r="M89" s="2" t="s">
        <v>437</v>
      </c>
      <c r="N89" s="2" t="s">
        <v>510</v>
      </c>
      <c r="Q89" s="5">
        <f t="shared" si="3"/>
        <v>44863.708333333336</v>
      </c>
      <c r="R89" t="s">
        <v>12</v>
      </c>
      <c r="S89">
        <v>20</v>
      </c>
      <c r="T89" t="s">
        <v>176</v>
      </c>
      <c r="U89">
        <v>91</v>
      </c>
      <c r="V89" t="s">
        <v>179</v>
      </c>
      <c r="W89" t="s">
        <v>180</v>
      </c>
      <c r="X89">
        <v>40.323188340000002</v>
      </c>
      <c r="Y89">
        <v>9.3302963929999994</v>
      </c>
      <c r="Z89">
        <f t="shared" si="2"/>
        <v>62089</v>
      </c>
    </row>
    <row r="90" spans="1:27">
      <c r="A90" s="1">
        <v>44863.708333333336</v>
      </c>
      <c r="B90" s="2" t="s">
        <v>12</v>
      </c>
      <c r="C90">
        <v>1</v>
      </c>
      <c r="D90" s="2" t="s">
        <v>146</v>
      </c>
      <c r="E90">
        <v>4</v>
      </c>
      <c r="F90" s="2" t="s">
        <v>153</v>
      </c>
      <c r="G90" s="2" t="s">
        <v>154</v>
      </c>
      <c r="H90">
        <v>4439329625</v>
      </c>
      <c r="I90">
        <v>7551171632</v>
      </c>
      <c r="J90">
        <v>198267</v>
      </c>
      <c r="K90" s="2" t="s">
        <v>588</v>
      </c>
      <c r="L90" s="2" t="s">
        <v>432</v>
      </c>
      <c r="M90" s="2" t="s">
        <v>437</v>
      </c>
      <c r="N90" s="2" t="s">
        <v>511</v>
      </c>
      <c r="Q90" s="5">
        <f t="shared" si="3"/>
        <v>44863.708333333336</v>
      </c>
      <c r="R90" t="s">
        <v>12</v>
      </c>
      <c r="S90">
        <v>20</v>
      </c>
      <c r="T90" t="s">
        <v>176</v>
      </c>
      <c r="U90">
        <v>95</v>
      </c>
      <c r="V90" t="s">
        <v>183</v>
      </c>
      <c r="W90" t="s">
        <v>184</v>
      </c>
      <c r="X90">
        <v>39.903810749999998</v>
      </c>
      <c r="Y90">
        <v>8.5911831509999992</v>
      </c>
      <c r="Z90">
        <f t="shared" si="2"/>
        <v>51758</v>
      </c>
    </row>
    <row r="91" spans="1:27">
      <c r="A91" s="1">
        <v>44863.708333333336</v>
      </c>
      <c r="B91" s="2" t="s">
        <v>12</v>
      </c>
      <c r="C91">
        <v>1</v>
      </c>
      <c r="D91" s="2" t="s">
        <v>146</v>
      </c>
      <c r="E91">
        <v>5</v>
      </c>
      <c r="F91" s="2" t="s">
        <v>155</v>
      </c>
      <c r="G91" s="2" t="s">
        <v>156</v>
      </c>
      <c r="H91">
        <v>4489912921</v>
      </c>
      <c r="I91">
        <v>8204142547</v>
      </c>
      <c r="J91">
        <v>74002</v>
      </c>
      <c r="K91" s="2" t="s">
        <v>588</v>
      </c>
      <c r="L91" s="2" t="s">
        <v>432</v>
      </c>
      <c r="M91" s="2" t="s">
        <v>437</v>
      </c>
      <c r="N91" s="2" t="s">
        <v>512</v>
      </c>
      <c r="Q91" s="5">
        <f t="shared" si="3"/>
        <v>44863.708333333336</v>
      </c>
      <c r="R91" t="s">
        <v>12</v>
      </c>
      <c r="S91">
        <v>20</v>
      </c>
      <c r="T91" t="s">
        <v>176</v>
      </c>
      <c r="U91">
        <v>90</v>
      </c>
      <c r="V91" t="s">
        <v>177</v>
      </c>
      <c r="W91" t="s">
        <v>178</v>
      </c>
      <c r="X91">
        <v>40.726676570000002</v>
      </c>
      <c r="Y91">
        <v>8.5596671309999994</v>
      </c>
      <c r="Z91">
        <f t="shared" si="2"/>
        <v>124451</v>
      </c>
    </row>
    <row r="92" spans="1:27">
      <c r="A92" s="1">
        <v>44863.708333333336</v>
      </c>
      <c r="B92" s="2" t="s">
        <v>12</v>
      </c>
      <c r="C92">
        <v>1</v>
      </c>
      <c r="D92" s="2" t="s">
        <v>146</v>
      </c>
      <c r="E92">
        <v>6</v>
      </c>
      <c r="F92" s="2" t="s">
        <v>157</v>
      </c>
      <c r="G92" s="2" t="s">
        <v>158</v>
      </c>
      <c r="H92">
        <v>4491297351</v>
      </c>
      <c r="I92">
        <v>8615401155</v>
      </c>
      <c r="J92">
        <v>142183</v>
      </c>
      <c r="K92" s="2" t="s">
        <v>588</v>
      </c>
      <c r="L92" s="2" t="s">
        <v>432</v>
      </c>
      <c r="M92" s="2" t="s">
        <v>437</v>
      </c>
      <c r="N92" s="2" t="s">
        <v>513</v>
      </c>
      <c r="Q92" s="5">
        <f t="shared" si="3"/>
        <v>44863.708333333336</v>
      </c>
      <c r="R92" t="s">
        <v>12</v>
      </c>
      <c r="S92">
        <v>20</v>
      </c>
      <c r="T92" t="s">
        <v>176</v>
      </c>
      <c r="U92">
        <v>111</v>
      </c>
      <c r="V92" t="s">
        <v>185</v>
      </c>
      <c r="W92" t="s">
        <v>186</v>
      </c>
      <c r="X92">
        <v>39.166414619999998</v>
      </c>
      <c r="Y92">
        <v>8.5262426760000007</v>
      </c>
      <c r="Z92">
        <f t="shared" si="2"/>
        <v>93538</v>
      </c>
    </row>
    <row r="93" spans="1:27">
      <c r="A93" s="1">
        <v>44863.708333333336</v>
      </c>
      <c r="B93" s="2" t="s">
        <v>12</v>
      </c>
      <c r="C93">
        <v>1</v>
      </c>
      <c r="D93" s="2" t="s">
        <v>146</v>
      </c>
      <c r="E93">
        <v>96</v>
      </c>
      <c r="F93" s="2" t="s">
        <v>159</v>
      </c>
      <c r="G93" s="2" t="s">
        <v>160</v>
      </c>
      <c r="H93">
        <v>455665112</v>
      </c>
      <c r="I93">
        <v>8054082167</v>
      </c>
      <c r="J93">
        <v>64328</v>
      </c>
      <c r="K93" s="2" t="s">
        <v>588</v>
      </c>
      <c r="L93" s="2" t="s">
        <v>432</v>
      </c>
      <c r="M93" s="2" t="s">
        <v>437</v>
      </c>
      <c r="N93" s="2" t="s">
        <v>514</v>
      </c>
      <c r="Q93" s="5">
        <f t="shared" si="3"/>
        <v>44863.708333333336</v>
      </c>
      <c r="R93" t="s">
        <v>12</v>
      </c>
      <c r="S93">
        <v>20</v>
      </c>
      <c r="T93" t="s">
        <v>176</v>
      </c>
      <c r="U93">
        <v>993</v>
      </c>
      <c r="V93" t="s">
        <v>264</v>
      </c>
      <c r="X93">
        <v>0</v>
      </c>
      <c r="Y93">
        <v>0</v>
      </c>
      <c r="Z93">
        <f t="shared" si="2"/>
        <v>0</v>
      </c>
      <c r="AA93">
        <f>SUMIFS(J:J,F:F,"Fuori Regione / Provincia Autonoma",D:D,T93)</f>
        <v>14</v>
      </c>
    </row>
    <row r="94" spans="1:27">
      <c r="A94" s="1">
        <v>44863.708333333336</v>
      </c>
      <c r="B94" s="2" t="s">
        <v>12</v>
      </c>
      <c r="C94">
        <v>1</v>
      </c>
      <c r="D94" s="2" t="s">
        <v>146</v>
      </c>
      <c r="E94">
        <v>103</v>
      </c>
      <c r="F94" s="2" t="s">
        <v>161</v>
      </c>
      <c r="G94" s="2" t="s">
        <v>162</v>
      </c>
      <c r="H94">
        <v>459214455</v>
      </c>
      <c r="I94">
        <v>8551078753</v>
      </c>
      <c r="J94">
        <v>58400</v>
      </c>
      <c r="K94" s="2" t="s">
        <v>588</v>
      </c>
      <c r="L94" s="2" t="s">
        <v>432</v>
      </c>
      <c r="M94" s="2" t="s">
        <v>437</v>
      </c>
      <c r="N94" s="2" t="s">
        <v>515</v>
      </c>
      <c r="Q94" s="5">
        <f t="shared" si="3"/>
        <v>44863.708333333336</v>
      </c>
      <c r="R94" t="s">
        <v>12</v>
      </c>
      <c r="S94">
        <v>19</v>
      </c>
      <c r="T94" t="s">
        <v>187</v>
      </c>
      <c r="U94">
        <v>84</v>
      </c>
      <c r="V94" t="s">
        <v>194</v>
      </c>
      <c r="W94" t="s">
        <v>195</v>
      </c>
      <c r="X94">
        <v>37.309710879999997</v>
      </c>
      <c r="Y94">
        <v>13.5845749</v>
      </c>
      <c r="Z94">
        <f t="shared" si="2"/>
        <v>131577</v>
      </c>
    </row>
    <row r="95" spans="1:27">
      <c r="A95" s="1">
        <v>44863.708333333336</v>
      </c>
      <c r="B95" s="2" t="s">
        <v>12</v>
      </c>
      <c r="C95">
        <v>1</v>
      </c>
      <c r="D95" s="2" t="s">
        <v>146</v>
      </c>
      <c r="E95">
        <v>891</v>
      </c>
      <c r="F95" s="2" t="s">
        <v>22</v>
      </c>
      <c r="G95" s="2" t="s">
        <v>588</v>
      </c>
      <c r="J95">
        <v>8112</v>
      </c>
      <c r="K95" s="2" t="s">
        <v>588</v>
      </c>
      <c r="L95" s="2" t="s">
        <v>432</v>
      </c>
      <c r="M95" s="2" t="s">
        <v>437</v>
      </c>
      <c r="N95" s="2" t="s">
        <v>588</v>
      </c>
      <c r="Q95" s="5">
        <f t="shared" si="3"/>
        <v>44863.708333333336</v>
      </c>
      <c r="R95" t="s">
        <v>12</v>
      </c>
      <c r="S95">
        <v>19</v>
      </c>
      <c r="T95" t="s">
        <v>187</v>
      </c>
      <c r="U95">
        <v>85</v>
      </c>
      <c r="V95" t="s">
        <v>196</v>
      </c>
      <c r="W95" t="s">
        <v>197</v>
      </c>
      <c r="X95">
        <v>37.492131710000002</v>
      </c>
      <c r="Y95">
        <v>14.06184973</v>
      </c>
      <c r="Z95">
        <f t="shared" si="2"/>
        <v>90636</v>
      </c>
    </row>
    <row r="96" spans="1:27">
      <c r="A96" s="1">
        <v>44863.708333333336</v>
      </c>
      <c r="B96" s="2" t="s">
        <v>12</v>
      </c>
      <c r="C96">
        <v>1</v>
      </c>
      <c r="D96" s="2" t="s">
        <v>146</v>
      </c>
      <c r="E96">
        <v>991</v>
      </c>
      <c r="F96" s="2" t="s">
        <v>23</v>
      </c>
      <c r="G96" s="2" t="s">
        <v>588</v>
      </c>
      <c r="J96">
        <v>26102</v>
      </c>
      <c r="K96" s="2" t="s">
        <v>588</v>
      </c>
      <c r="L96" s="2" t="s">
        <v>432</v>
      </c>
      <c r="M96" s="2" t="s">
        <v>437</v>
      </c>
      <c r="N96" s="2" t="s">
        <v>588</v>
      </c>
      <c r="Q96" s="5">
        <f t="shared" si="3"/>
        <v>44863.708333333336</v>
      </c>
      <c r="R96" t="s">
        <v>12</v>
      </c>
      <c r="S96">
        <v>19</v>
      </c>
      <c r="T96" t="s">
        <v>187</v>
      </c>
      <c r="U96">
        <v>87</v>
      </c>
      <c r="V96" t="s">
        <v>200</v>
      </c>
      <c r="W96" t="s">
        <v>201</v>
      </c>
      <c r="X96">
        <v>37.502878029999998</v>
      </c>
      <c r="Y96">
        <v>15.08704691</v>
      </c>
      <c r="Z96">
        <f t="shared" si="2"/>
        <v>396316</v>
      </c>
    </row>
    <row r="97" spans="1:27">
      <c r="A97" s="1">
        <v>44863.708333333336</v>
      </c>
      <c r="B97" s="2" t="s">
        <v>12</v>
      </c>
      <c r="C97">
        <v>16</v>
      </c>
      <c r="D97" s="2" t="s">
        <v>163</v>
      </c>
      <c r="E97">
        <v>71</v>
      </c>
      <c r="F97" s="2" t="s">
        <v>164</v>
      </c>
      <c r="G97" s="2" t="s">
        <v>165</v>
      </c>
      <c r="H97">
        <v>4146226865</v>
      </c>
      <c r="I97">
        <v>1554305094</v>
      </c>
      <c r="J97">
        <v>212972</v>
      </c>
      <c r="K97" s="2" t="s">
        <v>588</v>
      </c>
      <c r="L97" s="2" t="s">
        <v>423</v>
      </c>
      <c r="M97" s="2" t="s">
        <v>442</v>
      </c>
      <c r="N97" s="2" t="s">
        <v>516</v>
      </c>
      <c r="Q97" s="5">
        <f t="shared" si="3"/>
        <v>44863.708333333336</v>
      </c>
      <c r="R97" t="s">
        <v>12</v>
      </c>
      <c r="S97">
        <v>19</v>
      </c>
      <c r="T97" t="s">
        <v>187</v>
      </c>
      <c r="U97">
        <v>86</v>
      </c>
      <c r="V97" t="s">
        <v>198</v>
      </c>
      <c r="W97" t="s">
        <v>199</v>
      </c>
      <c r="X97">
        <v>37.567057009999999</v>
      </c>
      <c r="Y97">
        <v>14.279093749999999</v>
      </c>
      <c r="Z97">
        <f t="shared" si="2"/>
        <v>46912</v>
      </c>
    </row>
    <row r="98" spans="1:27">
      <c r="A98" s="1">
        <v>44863.708333333336</v>
      </c>
      <c r="B98" s="2" t="s">
        <v>12</v>
      </c>
      <c r="C98">
        <v>16</v>
      </c>
      <c r="D98" s="2" t="s">
        <v>163</v>
      </c>
      <c r="E98">
        <v>72</v>
      </c>
      <c r="F98" s="2" t="s">
        <v>166</v>
      </c>
      <c r="G98" s="2" t="s">
        <v>167</v>
      </c>
      <c r="H98">
        <v>4112559576</v>
      </c>
      <c r="I98">
        <v>1686736689</v>
      </c>
      <c r="J98">
        <v>488792</v>
      </c>
      <c r="K98" s="2" t="s">
        <v>588</v>
      </c>
      <c r="L98" s="2" t="s">
        <v>423</v>
      </c>
      <c r="M98" s="2" t="s">
        <v>442</v>
      </c>
      <c r="N98" s="2" t="s">
        <v>517</v>
      </c>
      <c r="Q98" s="5">
        <f t="shared" si="3"/>
        <v>44863.708333333336</v>
      </c>
      <c r="R98" t="s">
        <v>12</v>
      </c>
      <c r="S98">
        <v>19</v>
      </c>
      <c r="T98" t="s">
        <v>187</v>
      </c>
      <c r="U98">
        <v>83</v>
      </c>
      <c r="V98" t="s">
        <v>192</v>
      </c>
      <c r="W98" t="s">
        <v>193</v>
      </c>
      <c r="X98">
        <v>38.193958449999997</v>
      </c>
      <c r="Y98">
        <v>15.55572302</v>
      </c>
      <c r="Z98">
        <f t="shared" si="2"/>
        <v>239700</v>
      </c>
    </row>
    <row r="99" spans="1:27">
      <c r="A99" s="1">
        <v>44863.708333333336</v>
      </c>
      <c r="B99" s="2" t="s">
        <v>12</v>
      </c>
      <c r="C99">
        <v>16</v>
      </c>
      <c r="D99" s="2" t="s">
        <v>163</v>
      </c>
      <c r="E99">
        <v>73</v>
      </c>
      <c r="F99" s="2" t="s">
        <v>168</v>
      </c>
      <c r="G99" s="2" t="s">
        <v>169</v>
      </c>
      <c r="H99">
        <v>4047354739</v>
      </c>
      <c r="I99">
        <v>1723237181</v>
      </c>
      <c r="J99">
        <v>205577</v>
      </c>
      <c r="K99" s="2" t="s">
        <v>588</v>
      </c>
      <c r="L99" s="2" t="s">
        <v>423</v>
      </c>
      <c r="M99" s="2" t="s">
        <v>442</v>
      </c>
      <c r="N99" s="2" t="s">
        <v>518</v>
      </c>
      <c r="Q99" s="5">
        <f t="shared" si="3"/>
        <v>44863.708333333336</v>
      </c>
      <c r="R99" t="s">
        <v>12</v>
      </c>
      <c r="S99">
        <v>19</v>
      </c>
      <c r="T99" t="s">
        <v>187</v>
      </c>
      <c r="U99">
        <v>82</v>
      </c>
      <c r="V99" t="s">
        <v>190</v>
      </c>
      <c r="W99" t="s">
        <v>191</v>
      </c>
      <c r="X99">
        <v>38.115697249999997</v>
      </c>
      <c r="Y99">
        <v>13.3623566999999</v>
      </c>
      <c r="Z99">
        <f t="shared" si="2"/>
        <v>389458</v>
      </c>
    </row>
    <row r="100" spans="1:27">
      <c r="A100" s="1">
        <v>44863.708333333336</v>
      </c>
      <c r="B100" s="2" t="s">
        <v>12</v>
      </c>
      <c r="C100">
        <v>16</v>
      </c>
      <c r="D100" s="2" t="s">
        <v>163</v>
      </c>
      <c r="E100">
        <v>74</v>
      </c>
      <c r="F100" s="2" t="s">
        <v>170</v>
      </c>
      <c r="G100" s="2" t="s">
        <v>171</v>
      </c>
      <c r="H100">
        <v>4063848545</v>
      </c>
      <c r="I100">
        <v>1794601575</v>
      </c>
      <c r="J100">
        <v>144244</v>
      </c>
      <c r="K100" s="2" t="s">
        <v>588</v>
      </c>
      <c r="L100" s="2" t="s">
        <v>423</v>
      </c>
      <c r="M100" s="2" t="s">
        <v>442</v>
      </c>
      <c r="N100" s="2" t="s">
        <v>519</v>
      </c>
      <c r="Q100" s="5">
        <f t="shared" si="3"/>
        <v>44863.708333333336</v>
      </c>
      <c r="R100" t="s">
        <v>12</v>
      </c>
      <c r="S100">
        <v>19</v>
      </c>
      <c r="T100" t="s">
        <v>187</v>
      </c>
      <c r="U100">
        <v>88</v>
      </c>
      <c r="V100" t="s">
        <v>202</v>
      </c>
      <c r="W100" t="s">
        <v>203</v>
      </c>
      <c r="X100">
        <v>36.925091979999998</v>
      </c>
      <c r="Y100">
        <v>14.730698909999999</v>
      </c>
      <c r="Z100">
        <f t="shared" si="2"/>
        <v>115688</v>
      </c>
    </row>
    <row r="101" spans="1:27">
      <c r="A101" s="1">
        <v>44863.708333333336</v>
      </c>
      <c r="B101" s="2" t="s">
        <v>12</v>
      </c>
      <c r="C101">
        <v>16</v>
      </c>
      <c r="D101" s="2" t="s">
        <v>163</v>
      </c>
      <c r="E101">
        <v>75</v>
      </c>
      <c r="F101" s="2" t="s">
        <v>172</v>
      </c>
      <c r="G101" s="2" t="s">
        <v>173</v>
      </c>
      <c r="H101">
        <v>4035354285</v>
      </c>
      <c r="I101">
        <v>181718973</v>
      </c>
      <c r="J101">
        <v>315286</v>
      </c>
      <c r="K101" s="2" t="s">
        <v>588</v>
      </c>
      <c r="L101" s="2" t="s">
        <v>423</v>
      </c>
      <c r="M101" s="2" t="s">
        <v>442</v>
      </c>
      <c r="N101" s="2" t="s">
        <v>520</v>
      </c>
      <c r="Q101" s="5">
        <f t="shared" si="3"/>
        <v>44863.708333333336</v>
      </c>
      <c r="R101" t="s">
        <v>12</v>
      </c>
      <c r="S101">
        <v>19</v>
      </c>
      <c r="T101" t="s">
        <v>187</v>
      </c>
      <c r="U101">
        <v>89</v>
      </c>
      <c r="V101" t="s">
        <v>204</v>
      </c>
      <c r="W101" t="s">
        <v>205</v>
      </c>
      <c r="X101">
        <v>37.059916870000002</v>
      </c>
      <c r="Y101">
        <v>15.293331820000001</v>
      </c>
      <c r="Z101">
        <f t="shared" si="2"/>
        <v>150463</v>
      </c>
    </row>
    <row r="102" spans="1:27">
      <c r="A102" s="1">
        <v>44863.708333333336</v>
      </c>
      <c r="B102" s="2" t="s">
        <v>12</v>
      </c>
      <c r="C102">
        <v>16</v>
      </c>
      <c r="D102" s="2" t="s">
        <v>163</v>
      </c>
      <c r="E102">
        <v>110</v>
      </c>
      <c r="F102" s="2" t="s">
        <v>174</v>
      </c>
      <c r="G102" s="2" t="s">
        <v>175</v>
      </c>
      <c r="H102">
        <v>4122705039</v>
      </c>
      <c r="I102">
        <v>1629520432</v>
      </c>
      <c r="J102">
        <v>129304</v>
      </c>
      <c r="K102" s="2" t="s">
        <v>588</v>
      </c>
      <c r="L102" s="2" t="s">
        <v>423</v>
      </c>
      <c r="M102" s="2" t="s">
        <v>442</v>
      </c>
      <c r="N102" s="2" t="s">
        <v>521</v>
      </c>
      <c r="Q102" s="5">
        <f t="shared" si="3"/>
        <v>44863.708333333336</v>
      </c>
      <c r="R102" t="s">
        <v>12</v>
      </c>
      <c r="S102">
        <v>19</v>
      </c>
      <c r="T102" t="s">
        <v>187</v>
      </c>
      <c r="U102">
        <v>81</v>
      </c>
      <c r="V102" t="s">
        <v>188</v>
      </c>
      <c r="W102" t="s">
        <v>189</v>
      </c>
      <c r="X102">
        <v>38.01850065</v>
      </c>
      <c r="Y102">
        <v>12.513656839999999</v>
      </c>
      <c r="Z102">
        <f t="shared" si="2"/>
        <v>127372</v>
      </c>
    </row>
    <row r="103" spans="1:27">
      <c r="A103" s="1">
        <v>44863.708333333336</v>
      </c>
      <c r="B103" s="2" t="s">
        <v>12</v>
      </c>
      <c r="C103">
        <v>16</v>
      </c>
      <c r="D103" s="2" t="s">
        <v>163</v>
      </c>
      <c r="E103">
        <v>892</v>
      </c>
      <c r="F103" s="2" t="s">
        <v>22</v>
      </c>
      <c r="G103" s="2" t="s">
        <v>588</v>
      </c>
      <c r="J103">
        <v>15982</v>
      </c>
      <c r="K103" s="2" t="s">
        <v>588</v>
      </c>
      <c r="L103" s="2" t="s">
        <v>423</v>
      </c>
      <c r="M103" s="2" t="s">
        <v>442</v>
      </c>
      <c r="N103" s="2" t="s">
        <v>588</v>
      </c>
      <c r="Q103" s="5">
        <f t="shared" si="3"/>
        <v>44863.708333333336</v>
      </c>
      <c r="R103" t="s">
        <v>12</v>
      </c>
      <c r="S103">
        <v>19</v>
      </c>
      <c r="T103" t="s">
        <v>187</v>
      </c>
      <c r="U103">
        <v>994</v>
      </c>
      <c r="V103" t="s">
        <v>264</v>
      </c>
      <c r="X103">
        <v>0</v>
      </c>
      <c r="Y103">
        <v>0</v>
      </c>
      <c r="Z103">
        <f t="shared" si="2"/>
        <v>0</v>
      </c>
      <c r="AA103">
        <f>SUMIFS(J:J,F:F,"Fuori Regione / Provincia Autonoma",D:D,T103)</f>
        <v>0</v>
      </c>
    </row>
    <row r="104" spans="1:27">
      <c r="A104" s="1">
        <v>44863.708333333336</v>
      </c>
      <c r="B104" s="2" t="s">
        <v>12</v>
      </c>
      <c r="C104">
        <v>16</v>
      </c>
      <c r="D104" s="2" t="s">
        <v>163</v>
      </c>
      <c r="E104">
        <v>992</v>
      </c>
      <c r="F104" s="2" t="s">
        <v>23</v>
      </c>
      <c r="G104" s="2" t="s">
        <v>588</v>
      </c>
      <c r="J104">
        <v>5160</v>
      </c>
      <c r="K104" s="2" t="s">
        <v>588</v>
      </c>
      <c r="L104" s="2" t="s">
        <v>423</v>
      </c>
      <c r="M104" s="2" t="s">
        <v>442</v>
      </c>
      <c r="N104" s="2" t="s">
        <v>588</v>
      </c>
      <c r="Q104" s="5">
        <f t="shared" si="3"/>
        <v>44863.708333333336</v>
      </c>
      <c r="R104" t="s">
        <v>12</v>
      </c>
      <c r="S104">
        <v>9</v>
      </c>
      <c r="T104" t="s">
        <v>206</v>
      </c>
      <c r="U104">
        <v>51</v>
      </c>
      <c r="V104" t="s">
        <v>219</v>
      </c>
      <c r="W104" t="s">
        <v>220</v>
      </c>
      <c r="X104">
        <v>43.466427520000003</v>
      </c>
      <c r="Y104">
        <v>11.88228844</v>
      </c>
      <c r="Z104">
        <f t="shared" si="2"/>
        <v>133537</v>
      </c>
    </row>
    <row r="105" spans="1:27">
      <c r="A105" s="1">
        <v>44863.708333333336</v>
      </c>
      <c r="B105" s="2" t="s">
        <v>12</v>
      </c>
      <c r="C105">
        <v>20</v>
      </c>
      <c r="D105" s="2" t="s">
        <v>176</v>
      </c>
      <c r="E105">
        <v>90</v>
      </c>
      <c r="F105" s="2" t="s">
        <v>177</v>
      </c>
      <c r="G105" s="2" t="s">
        <v>178</v>
      </c>
      <c r="H105">
        <v>4072667657</v>
      </c>
      <c r="I105">
        <v>8559667131</v>
      </c>
      <c r="J105">
        <v>124451</v>
      </c>
      <c r="K105" s="2" t="s">
        <v>588</v>
      </c>
      <c r="L105" s="2" t="s">
        <v>443</v>
      </c>
      <c r="M105" s="2" t="s">
        <v>444</v>
      </c>
      <c r="N105" s="2" t="s">
        <v>522</v>
      </c>
      <c r="Q105" s="5">
        <f t="shared" si="3"/>
        <v>44863.708333333336</v>
      </c>
      <c r="R105" t="s">
        <v>12</v>
      </c>
      <c r="S105">
        <v>9</v>
      </c>
      <c r="T105" t="s">
        <v>206</v>
      </c>
      <c r="U105">
        <v>48</v>
      </c>
      <c r="V105" t="s">
        <v>213</v>
      </c>
      <c r="W105" t="s">
        <v>214</v>
      </c>
      <c r="X105">
        <v>43.76923077</v>
      </c>
      <c r="Y105">
        <v>11.25588885</v>
      </c>
      <c r="Z105">
        <f t="shared" si="2"/>
        <v>397328</v>
      </c>
    </row>
    <row r="106" spans="1:27">
      <c r="A106" s="1">
        <v>44863.708333333336</v>
      </c>
      <c r="B106" s="2" t="s">
        <v>12</v>
      </c>
      <c r="C106">
        <v>20</v>
      </c>
      <c r="D106" s="2" t="s">
        <v>176</v>
      </c>
      <c r="E106">
        <v>91</v>
      </c>
      <c r="F106" s="2" t="s">
        <v>179</v>
      </c>
      <c r="G106" s="2" t="s">
        <v>180</v>
      </c>
      <c r="H106">
        <v>4032318834</v>
      </c>
      <c r="I106">
        <v>9330296393</v>
      </c>
      <c r="J106">
        <v>62089</v>
      </c>
      <c r="K106" s="2" t="s">
        <v>588</v>
      </c>
      <c r="L106" s="2" t="s">
        <v>443</v>
      </c>
      <c r="M106" s="2" t="s">
        <v>444</v>
      </c>
      <c r="N106" s="2" t="s">
        <v>523</v>
      </c>
      <c r="Q106" s="5">
        <f t="shared" si="3"/>
        <v>44863.708333333336</v>
      </c>
      <c r="R106" t="s">
        <v>12</v>
      </c>
      <c r="S106">
        <v>9</v>
      </c>
      <c r="T106" t="s">
        <v>206</v>
      </c>
      <c r="U106">
        <v>53</v>
      </c>
      <c r="V106" t="s">
        <v>223</v>
      </c>
      <c r="W106" t="s">
        <v>224</v>
      </c>
      <c r="X106">
        <v>42.760267579999997</v>
      </c>
      <c r="Y106">
        <v>11.11356398</v>
      </c>
      <c r="Z106">
        <f t="shared" si="2"/>
        <v>81633</v>
      </c>
    </row>
    <row r="107" spans="1:27">
      <c r="A107" s="1">
        <v>44863.708333333336</v>
      </c>
      <c r="B107" s="2" t="s">
        <v>12</v>
      </c>
      <c r="C107">
        <v>20</v>
      </c>
      <c r="D107" s="2" t="s">
        <v>176</v>
      </c>
      <c r="E107">
        <v>92</v>
      </c>
      <c r="F107" s="2" t="s">
        <v>181</v>
      </c>
      <c r="G107" s="2" t="s">
        <v>182</v>
      </c>
      <c r="H107">
        <v>3921531192</v>
      </c>
      <c r="I107">
        <v>9110616306</v>
      </c>
      <c r="J107">
        <v>136085</v>
      </c>
      <c r="K107" s="2" t="s">
        <v>588</v>
      </c>
      <c r="L107" s="2" t="s">
        <v>443</v>
      </c>
      <c r="M107" s="2" t="s">
        <v>444</v>
      </c>
      <c r="N107" s="2" t="s">
        <v>524</v>
      </c>
      <c r="Q107" s="5">
        <f t="shared" si="3"/>
        <v>44863.708333333336</v>
      </c>
      <c r="R107" t="s">
        <v>12</v>
      </c>
      <c r="S107">
        <v>9</v>
      </c>
      <c r="T107" t="s">
        <v>206</v>
      </c>
      <c r="U107">
        <v>49</v>
      </c>
      <c r="V107" t="s">
        <v>215</v>
      </c>
      <c r="W107" t="s">
        <v>216</v>
      </c>
      <c r="X107">
        <v>43.552348729999999</v>
      </c>
      <c r="Y107">
        <v>10.3086781</v>
      </c>
      <c r="Z107">
        <f t="shared" si="2"/>
        <v>133098</v>
      </c>
    </row>
    <row r="108" spans="1:27">
      <c r="A108" s="1">
        <v>44863.708333333336</v>
      </c>
      <c r="B108" s="2" t="s">
        <v>12</v>
      </c>
      <c r="C108">
        <v>20</v>
      </c>
      <c r="D108" s="2" t="s">
        <v>176</v>
      </c>
      <c r="E108">
        <v>95</v>
      </c>
      <c r="F108" s="2" t="s">
        <v>183</v>
      </c>
      <c r="G108" s="2" t="s">
        <v>184</v>
      </c>
      <c r="H108">
        <v>3990381075</v>
      </c>
      <c r="I108">
        <v>8591183151</v>
      </c>
      <c r="J108">
        <v>51758</v>
      </c>
      <c r="K108" s="2" t="s">
        <v>588</v>
      </c>
      <c r="L108" s="2" t="s">
        <v>443</v>
      </c>
      <c r="M108" s="2" t="s">
        <v>444</v>
      </c>
      <c r="N108" s="2" t="s">
        <v>525</v>
      </c>
      <c r="Q108" s="5">
        <f t="shared" si="3"/>
        <v>44863.708333333336</v>
      </c>
      <c r="R108" t="s">
        <v>12</v>
      </c>
      <c r="S108">
        <v>9</v>
      </c>
      <c r="T108" t="s">
        <v>206</v>
      </c>
      <c r="U108">
        <v>46</v>
      </c>
      <c r="V108" t="s">
        <v>209</v>
      </c>
      <c r="W108" t="s">
        <v>210</v>
      </c>
      <c r="X108">
        <v>43.844322830000003</v>
      </c>
      <c r="Y108">
        <v>10.501513660000001</v>
      </c>
      <c r="Z108">
        <f t="shared" si="2"/>
        <v>157861</v>
      </c>
    </row>
    <row r="109" spans="1:27">
      <c r="A109" s="1">
        <v>44863.708333333336</v>
      </c>
      <c r="B109" s="2" t="s">
        <v>12</v>
      </c>
      <c r="C109">
        <v>20</v>
      </c>
      <c r="D109" s="2" t="s">
        <v>176</v>
      </c>
      <c r="E109">
        <v>111</v>
      </c>
      <c r="F109" s="2" t="s">
        <v>185</v>
      </c>
      <c r="G109" s="2" t="s">
        <v>186</v>
      </c>
      <c r="H109">
        <v>3916641462</v>
      </c>
      <c r="I109">
        <v>8526242676</v>
      </c>
      <c r="J109">
        <v>93538</v>
      </c>
      <c r="K109" s="2" t="s">
        <v>588</v>
      </c>
      <c r="L109" s="2" t="s">
        <v>443</v>
      </c>
      <c r="M109" s="2" t="s">
        <v>444</v>
      </c>
      <c r="N109" s="2" t="s">
        <v>526</v>
      </c>
      <c r="Q109" s="5">
        <f t="shared" si="3"/>
        <v>44863.708333333336</v>
      </c>
      <c r="R109" t="s">
        <v>12</v>
      </c>
      <c r="S109">
        <v>9</v>
      </c>
      <c r="T109" t="s">
        <v>206</v>
      </c>
      <c r="U109">
        <v>45</v>
      </c>
      <c r="V109" t="s">
        <v>207</v>
      </c>
      <c r="W109" t="s">
        <v>208</v>
      </c>
      <c r="X109">
        <v>44.036744249999998</v>
      </c>
      <c r="Y109">
        <v>10.141738289999999</v>
      </c>
      <c r="Z109">
        <f t="shared" si="2"/>
        <v>74508</v>
      </c>
    </row>
    <row r="110" spans="1:27">
      <c r="A110" s="1">
        <v>44863.708333333336</v>
      </c>
      <c r="B110" s="2" t="s">
        <v>12</v>
      </c>
      <c r="C110">
        <v>20</v>
      </c>
      <c r="D110" s="2" t="s">
        <v>176</v>
      </c>
      <c r="E110">
        <v>893</v>
      </c>
      <c r="F110" s="2" t="s">
        <v>22</v>
      </c>
      <c r="G110" s="2" t="s">
        <v>588</v>
      </c>
      <c r="J110">
        <v>14</v>
      </c>
      <c r="K110" s="2" t="s">
        <v>588</v>
      </c>
      <c r="L110" s="2" t="s">
        <v>443</v>
      </c>
      <c r="M110" s="2" t="s">
        <v>444</v>
      </c>
      <c r="N110" s="2" t="s">
        <v>588</v>
      </c>
      <c r="Q110" s="5">
        <f t="shared" si="3"/>
        <v>44863.708333333336</v>
      </c>
      <c r="R110" t="s">
        <v>12</v>
      </c>
      <c r="S110">
        <v>9</v>
      </c>
      <c r="T110" t="s">
        <v>206</v>
      </c>
      <c r="U110">
        <v>50</v>
      </c>
      <c r="V110" t="s">
        <v>217</v>
      </c>
      <c r="W110" t="s">
        <v>218</v>
      </c>
      <c r="X110">
        <v>43.715532060000001</v>
      </c>
      <c r="Y110">
        <v>10.40127259</v>
      </c>
      <c r="Z110">
        <f t="shared" si="2"/>
        <v>170862</v>
      </c>
    </row>
    <row r="111" spans="1:27">
      <c r="A111" s="1">
        <v>44863.708333333336</v>
      </c>
      <c r="B111" s="2" t="s">
        <v>12</v>
      </c>
      <c r="C111">
        <v>20</v>
      </c>
      <c r="D111" s="2" t="s">
        <v>176</v>
      </c>
      <c r="E111">
        <v>993</v>
      </c>
      <c r="F111" s="2" t="s">
        <v>23</v>
      </c>
      <c r="G111" s="2" t="s">
        <v>588</v>
      </c>
      <c r="J111">
        <v>0</v>
      </c>
      <c r="K111" s="2" t="s">
        <v>588</v>
      </c>
      <c r="L111" s="2" t="s">
        <v>443</v>
      </c>
      <c r="M111" s="2" t="s">
        <v>444</v>
      </c>
      <c r="N111" s="2" t="s">
        <v>588</v>
      </c>
      <c r="Q111" s="5">
        <f t="shared" si="3"/>
        <v>44863.708333333336</v>
      </c>
      <c r="R111" t="s">
        <v>12</v>
      </c>
      <c r="S111">
        <v>9</v>
      </c>
      <c r="T111" t="s">
        <v>206</v>
      </c>
      <c r="U111">
        <v>47</v>
      </c>
      <c r="V111" t="s">
        <v>211</v>
      </c>
      <c r="W111" t="s">
        <v>212</v>
      </c>
      <c r="X111">
        <v>43.933464999999998</v>
      </c>
      <c r="Y111">
        <v>10.917341459999999</v>
      </c>
      <c r="Z111">
        <f t="shared" si="2"/>
        <v>115354</v>
      </c>
    </row>
    <row r="112" spans="1:27">
      <c r="A112" s="1">
        <v>44863.708333333336</v>
      </c>
      <c r="B112" s="2" t="s">
        <v>12</v>
      </c>
      <c r="C112">
        <v>19</v>
      </c>
      <c r="D112" s="2" t="s">
        <v>187</v>
      </c>
      <c r="E112">
        <v>81</v>
      </c>
      <c r="F112" s="2" t="s">
        <v>188</v>
      </c>
      <c r="G112" s="2" t="s">
        <v>189</v>
      </c>
      <c r="H112">
        <v>3801850065</v>
      </c>
      <c r="I112">
        <v>1251365684</v>
      </c>
      <c r="J112">
        <v>127372</v>
      </c>
      <c r="K112" s="2" t="s">
        <v>588</v>
      </c>
      <c r="L112" s="2" t="s">
        <v>443</v>
      </c>
      <c r="M112" s="2" t="s">
        <v>445</v>
      </c>
      <c r="N112" s="2" t="s">
        <v>527</v>
      </c>
      <c r="Q112" s="5">
        <f t="shared" si="3"/>
        <v>44863.708333333336</v>
      </c>
      <c r="R112" t="s">
        <v>12</v>
      </c>
      <c r="S112">
        <v>9</v>
      </c>
      <c r="T112" t="s">
        <v>206</v>
      </c>
      <c r="U112">
        <v>100</v>
      </c>
      <c r="V112" t="s">
        <v>225</v>
      </c>
      <c r="W112" t="s">
        <v>226</v>
      </c>
      <c r="X112">
        <v>43.88062274</v>
      </c>
      <c r="Y112">
        <v>11.09703315</v>
      </c>
      <c r="Z112">
        <f t="shared" si="2"/>
        <v>97356</v>
      </c>
    </row>
    <row r="113" spans="1:27">
      <c r="A113" s="1">
        <v>44863.708333333336</v>
      </c>
      <c r="B113" s="2" t="s">
        <v>12</v>
      </c>
      <c r="C113">
        <v>19</v>
      </c>
      <c r="D113" s="2" t="s">
        <v>187</v>
      </c>
      <c r="E113">
        <v>82</v>
      </c>
      <c r="F113" s="2" t="s">
        <v>190</v>
      </c>
      <c r="G113" s="2" t="s">
        <v>191</v>
      </c>
      <c r="H113">
        <v>3811569725</v>
      </c>
      <c r="I113">
        <v>133623567</v>
      </c>
      <c r="J113">
        <v>389458</v>
      </c>
      <c r="K113" s="2" t="s">
        <v>588</v>
      </c>
      <c r="L113" s="2" t="s">
        <v>443</v>
      </c>
      <c r="M113" s="2" t="s">
        <v>445</v>
      </c>
      <c r="N113" s="2" t="s">
        <v>528</v>
      </c>
      <c r="Q113" s="5">
        <f t="shared" si="3"/>
        <v>44863.708333333336</v>
      </c>
      <c r="R113" t="s">
        <v>12</v>
      </c>
      <c r="S113">
        <v>9</v>
      </c>
      <c r="T113" t="s">
        <v>206</v>
      </c>
      <c r="U113">
        <v>52</v>
      </c>
      <c r="V113" t="s">
        <v>221</v>
      </c>
      <c r="W113" t="s">
        <v>222</v>
      </c>
      <c r="X113">
        <v>43.318163740000003</v>
      </c>
      <c r="Y113">
        <v>11.33190988</v>
      </c>
      <c r="Z113">
        <f t="shared" si="2"/>
        <v>105831</v>
      </c>
    </row>
    <row r="114" spans="1:27">
      <c r="A114" s="1">
        <v>44863.708333333336</v>
      </c>
      <c r="B114" s="2" t="s">
        <v>12</v>
      </c>
      <c r="C114">
        <v>19</v>
      </c>
      <c r="D114" s="2" t="s">
        <v>187</v>
      </c>
      <c r="E114">
        <v>83</v>
      </c>
      <c r="F114" s="2" t="s">
        <v>192</v>
      </c>
      <c r="G114" s="2" t="s">
        <v>193</v>
      </c>
      <c r="H114">
        <v>3819395845</v>
      </c>
      <c r="I114">
        <v>1555572302</v>
      </c>
      <c r="J114">
        <v>239700</v>
      </c>
      <c r="K114" s="2" t="s">
        <v>588</v>
      </c>
      <c r="L114" s="2" t="s">
        <v>443</v>
      </c>
      <c r="M114" s="2" t="s">
        <v>445</v>
      </c>
      <c r="N114" s="2" t="s">
        <v>529</v>
      </c>
      <c r="Q114" s="5">
        <f t="shared" si="3"/>
        <v>44863.708333333336</v>
      </c>
      <c r="R114" t="s">
        <v>12</v>
      </c>
      <c r="S114">
        <v>9</v>
      </c>
      <c r="T114" t="s">
        <v>206</v>
      </c>
      <c r="U114">
        <v>995</v>
      </c>
      <c r="V114" t="s">
        <v>264</v>
      </c>
      <c r="X114">
        <v>0</v>
      </c>
      <c r="Y114">
        <v>0</v>
      </c>
      <c r="Z114">
        <f t="shared" si="2"/>
        <v>0</v>
      </c>
      <c r="AA114">
        <f>SUMIFS(J:J,F:F,"Fuori Regione / Provincia Autonoma",D:D,T114)</f>
        <v>555</v>
      </c>
    </row>
    <row r="115" spans="1:27">
      <c r="A115" s="1">
        <v>44863.708333333336</v>
      </c>
      <c r="B115" s="2" t="s">
        <v>12</v>
      </c>
      <c r="C115">
        <v>19</v>
      </c>
      <c r="D115" s="2" t="s">
        <v>187</v>
      </c>
      <c r="E115">
        <v>84</v>
      </c>
      <c r="F115" s="2" t="s">
        <v>194</v>
      </c>
      <c r="G115" s="2" t="s">
        <v>195</v>
      </c>
      <c r="H115">
        <v>3730971088</v>
      </c>
      <c r="I115">
        <v>135845749</v>
      </c>
      <c r="J115">
        <v>131577</v>
      </c>
      <c r="K115" s="2" t="s">
        <v>588</v>
      </c>
      <c r="L115" s="2" t="s">
        <v>443</v>
      </c>
      <c r="M115" s="2" t="s">
        <v>445</v>
      </c>
      <c r="N115" s="2" t="s">
        <v>530</v>
      </c>
      <c r="Q115" s="5">
        <f t="shared" si="3"/>
        <v>44863.708333333336</v>
      </c>
      <c r="R115" t="s">
        <v>12</v>
      </c>
      <c r="S115">
        <v>22</v>
      </c>
      <c r="T115" t="s">
        <v>143</v>
      </c>
      <c r="U115">
        <v>22</v>
      </c>
      <c r="V115" t="s">
        <v>144</v>
      </c>
      <c r="W115" t="s">
        <v>145</v>
      </c>
      <c r="X115">
        <v>46.068935109999998</v>
      </c>
      <c r="Y115">
        <v>11.121230969999999</v>
      </c>
      <c r="Z115">
        <f t="shared" si="2"/>
        <v>229481</v>
      </c>
    </row>
    <row r="116" spans="1:27">
      <c r="A116" s="1">
        <v>44863.708333333336</v>
      </c>
      <c r="B116" s="2" t="s">
        <v>12</v>
      </c>
      <c r="C116">
        <v>19</v>
      </c>
      <c r="D116" s="2" t="s">
        <v>187</v>
      </c>
      <c r="E116">
        <v>85</v>
      </c>
      <c r="F116" s="2" t="s">
        <v>196</v>
      </c>
      <c r="G116" s="2" t="s">
        <v>197</v>
      </c>
      <c r="H116">
        <v>3749213171</v>
      </c>
      <c r="I116">
        <v>1406184973</v>
      </c>
      <c r="J116">
        <v>90636</v>
      </c>
      <c r="K116" s="2" t="s">
        <v>588</v>
      </c>
      <c r="L116" s="2" t="s">
        <v>443</v>
      </c>
      <c r="M116" s="2" t="s">
        <v>445</v>
      </c>
      <c r="N116" s="2" t="s">
        <v>531</v>
      </c>
      <c r="Q116" s="5">
        <f t="shared" si="3"/>
        <v>44863.708333333336</v>
      </c>
      <c r="R116" t="s">
        <v>12</v>
      </c>
      <c r="S116">
        <v>22</v>
      </c>
      <c r="T116" t="s">
        <v>143</v>
      </c>
      <c r="U116">
        <v>996</v>
      </c>
      <c r="V116" t="s">
        <v>264</v>
      </c>
      <c r="X116">
        <v>0</v>
      </c>
      <c r="Y116">
        <v>0</v>
      </c>
      <c r="Z116">
        <f t="shared" si="2"/>
        <v>0</v>
      </c>
      <c r="AA116">
        <f>SUMIFS(J:J,F:F,"Fuori Regione / Provincia Autonoma",D:D,T116)</f>
        <v>0</v>
      </c>
    </row>
    <row r="117" spans="1:27">
      <c r="A117" s="1">
        <v>44863.708333333336</v>
      </c>
      <c r="B117" s="2" t="s">
        <v>12</v>
      </c>
      <c r="C117">
        <v>19</v>
      </c>
      <c r="D117" s="2" t="s">
        <v>187</v>
      </c>
      <c r="E117">
        <v>86</v>
      </c>
      <c r="F117" s="2" t="s">
        <v>198</v>
      </c>
      <c r="G117" s="2" t="s">
        <v>199</v>
      </c>
      <c r="H117">
        <v>3756705701</v>
      </c>
      <c r="I117">
        <v>1427909375</v>
      </c>
      <c r="J117">
        <v>46912</v>
      </c>
      <c r="K117" s="2" t="s">
        <v>588</v>
      </c>
      <c r="L117" s="2" t="s">
        <v>443</v>
      </c>
      <c r="M117" s="2" t="s">
        <v>445</v>
      </c>
      <c r="N117" s="2" t="s">
        <v>532</v>
      </c>
      <c r="Q117" s="5">
        <f t="shared" si="3"/>
        <v>44863.708333333336</v>
      </c>
      <c r="R117" t="s">
        <v>12</v>
      </c>
      <c r="S117">
        <v>10</v>
      </c>
      <c r="T117" t="s">
        <v>227</v>
      </c>
      <c r="U117">
        <v>54</v>
      </c>
      <c r="V117" t="s">
        <v>228</v>
      </c>
      <c r="W117" t="s">
        <v>229</v>
      </c>
      <c r="X117">
        <v>43.106758409999998</v>
      </c>
      <c r="Y117">
        <v>12.38824698</v>
      </c>
      <c r="Z117">
        <f t="shared" si="2"/>
        <v>292046</v>
      </c>
    </row>
    <row r="118" spans="1:27">
      <c r="A118" s="1">
        <v>44863.708333333336</v>
      </c>
      <c r="B118" s="2" t="s">
        <v>12</v>
      </c>
      <c r="C118">
        <v>19</v>
      </c>
      <c r="D118" s="2" t="s">
        <v>187</v>
      </c>
      <c r="E118">
        <v>87</v>
      </c>
      <c r="F118" s="2" t="s">
        <v>200</v>
      </c>
      <c r="G118" s="2" t="s">
        <v>201</v>
      </c>
      <c r="H118">
        <v>3750287803</v>
      </c>
      <c r="I118">
        <v>1508704691</v>
      </c>
      <c r="J118">
        <v>396316</v>
      </c>
      <c r="K118" s="2" t="s">
        <v>588</v>
      </c>
      <c r="L118" s="2" t="s">
        <v>443</v>
      </c>
      <c r="M118" s="2" t="s">
        <v>445</v>
      </c>
      <c r="N118" s="2" t="s">
        <v>533</v>
      </c>
      <c r="Q118" s="5">
        <f t="shared" si="3"/>
        <v>44863.708333333336</v>
      </c>
      <c r="R118" t="s">
        <v>12</v>
      </c>
      <c r="S118">
        <v>10</v>
      </c>
      <c r="T118" t="s">
        <v>227</v>
      </c>
      <c r="U118">
        <v>55</v>
      </c>
      <c r="V118" t="s">
        <v>230</v>
      </c>
      <c r="W118" t="s">
        <v>231</v>
      </c>
      <c r="X118">
        <v>42.560712580000001</v>
      </c>
      <c r="Y118">
        <v>12.646687500000001</v>
      </c>
      <c r="Z118">
        <f t="shared" si="2"/>
        <v>91238</v>
      </c>
    </row>
    <row r="119" spans="1:27">
      <c r="A119" s="1">
        <v>44863.708333333336</v>
      </c>
      <c r="B119" s="2" t="s">
        <v>12</v>
      </c>
      <c r="C119">
        <v>19</v>
      </c>
      <c r="D119" s="2" t="s">
        <v>187</v>
      </c>
      <c r="E119">
        <v>88</v>
      </c>
      <c r="F119" s="2" t="s">
        <v>202</v>
      </c>
      <c r="G119" s="2" t="s">
        <v>203</v>
      </c>
      <c r="H119">
        <v>3692509198</v>
      </c>
      <c r="I119">
        <v>1473069891</v>
      </c>
      <c r="J119">
        <v>115688</v>
      </c>
      <c r="K119" s="2" t="s">
        <v>588</v>
      </c>
      <c r="L119" s="2" t="s">
        <v>443</v>
      </c>
      <c r="M119" s="2" t="s">
        <v>445</v>
      </c>
      <c r="N119" s="2" t="s">
        <v>534</v>
      </c>
      <c r="Q119" s="5">
        <f t="shared" si="3"/>
        <v>44863.708333333336</v>
      </c>
      <c r="R119" t="s">
        <v>12</v>
      </c>
      <c r="S119">
        <v>10</v>
      </c>
      <c r="T119" t="s">
        <v>227</v>
      </c>
      <c r="U119">
        <v>997</v>
      </c>
      <c r="V119" t="s">
        <v>264</v>
      </c>
      <c r="X119">
        <v>0</v>
      </c>
      <c r="Y119">
        <v>0</v>
      </c>
      <c r="Z119">
        <f t="shared" si="2"/>
        <v>0</v>
      </c>
      <c r="AA119">
        <f>SUMIFS(J:J,F:F,"Fuori Regione / Provincia Autonoma",D:D,T119)</f>
        <v>17536</v>
      </c>
    </row>
    <row r="120" spans="1:27">
      <c r="A120" s="1">
        <v>44863.708333333336</v>
      </c>
      <c r="B120" s="2" t="s">
        <v>12</v>
      </c>
      <c r="C120">
        <v>19</v>
      </c>
      <c r="D120" s="2" t="s">
        <v>187</v>
      </c>
      <c r="E120">
        <v>89</v>
      </c>
      <c r="F120" s="2" t="s">
        <v>204</v>
      </c>
      <c r="G120" s="2" t="s">
        <v>205</v>
      </c>
      <c r="H120">
        <v>3705991687</v>
      </c>
      <c r="I120">
        <v>1529333182</v>
      </c>
      <c r="J120">
        <v>150463</v>
      </c>
      <c r="K120" s="2" t="s">
        <v>588</v>
      </c>
      <c r="L120" s="2" t="s">
        <v>443</v>
      </c>
      <c r="M120" s="2" t="s">
        <v>445</v>
      </c>
      <c r="N120" s="2" t="s">
        <v>535</v>
      </c>
      <c r="Q120" s="5">
        <f t="shared" si="3"/>
        <v>44863.708333333336</v>
      </c>
      <c r="R120" t="s">
        <v>12</v>
      </c>
      <c r="S120">
        <v>2</v>
      </c>
      <c r="T120" t="s">
        <v>232</v>
      </c>
      <c r="U120">
        <v>7</v>
      </c>
      <c r="V120" t="s">
        <v>233</v>
      </c>
      <c r="W120" t="s">
        <v>234</v>
      </c>
      <c r="X120">
        <v>45.737502859999999</v>
      </c>
      <c r="Y120">
        <v>7.3201493659999999</v>
      </c>
      <c r="Z120">
        <f t="shared" si="2"/>
        <v>43592</v>
      </c>
    </row>
    <row r="121" spans="1:27">
      <c r="A121" s="1">
        <v>44863.708333333336</v>
      </c>
      <c r="B121" s="2" t="s">
        <v>12</v>
      </c>
      <c r="C121">
        <v>19</v>
      </c>
      <c r="D121" s="2" t="s">
        <v>187</v>
      </c>
      <c r="E121">
        <v>894</v>
      </c>
      <c r="F121" s="2" t="s">
        <v>22</v>
      </c>
      <c r="G121" s="2" t="s">
        <v>588</v>
      </c>
      <c r="J121">
        <v>0</v>
      </c>
      <c r="K121" s="2" t="s">
        <v>588</v>
      </c>
      <c r="L121" s="2" t="s">
        <v>443</v>
      </c>
      <c r="M121" s="2" t="s">
        <v>445</v>
      </c>
      <c r="N121" s="2" t="s">
        <v>588</v>
      </c>
      <c r="Q121" s="5">
        <f t="shared" si="3"/>
        <v>44863.708333333336</v>
      </c>
      <c r="R121" t="s">
        <v>12</v>
      </c>
      <c r="S121">
        <v>2</v>
      </c>
      <c r="T121" t="s">
        <v>232</v>
      </c>
      <c r="U121">
        <v>998</v>
      </c>
      <c r="V121" t="s">
        <v>264</v>
      </c>
      <c r="X121">
        <v>0</v>
      </c>
      <c r="Y121">
        <v>0</v>
      </c>
      <c r="Z121">
        <f t="shared" si="2"/>
        <v>0</v>
      </c>
      <c r="AA121">
        <f>SUMIFS(J:J,F:F,"Fuori Regione / Provincia Autonoma",D:D,T121)</f>
        <v>3835</v>
      </c>
    </row>
    <row r="122" spans="1:27">
      <c r="A122" s="1">
        <v>44863.708333333336</v>
      </c>
      <c r="B122" s="2" t="s">
        <v>12</v>
      </c>
      <c r="C122">
        <v>19</v>
      </c>
      <c r="D122" s="2" t="s">
        <v>187</v>
      </c>
      <c r="E122">
        <v>994</v>
      </c>
      <c r="F122" s="2" t="s">
        <v>23</v>
      </c>
      <c r="G122" s="2" t="s">
        <v>588</v>
      </c>
      <c r="J122">
        <v>0</v>
      </c>
      <c r="K122" s="2" t="s">
        <v>588</v>
      </c>
      <c r="L122" s="2" t="s">
        <v>443</v>
      </c>
      <c r="M122" s="2" t="s">
        <v>445</v>
      </c>
      <c r="N122" s="2" t="s">
        <v>588</v>
      </c>
      <c r="Q122" s="5">
        <f t="shared" si="3"/>
        <v>44863.708333333336</v>
      </c>
      <c r="R122" t="s">
        <v>12</v>
      </c>
      <c r="S122">
        <v>5</v>
      </c>
      <c r="T122" t="s">
        <v>235</v>
      </c>
      <c r="U122">
        <v>25</v>
      </c>
      <c r="V122" t="s">
        <v>240</v>
      </c>
      <c r="W122" t="s">
        <v>241</v>
      </c>
      <c r="X122">
        <v>46.138375279999998</v>
      </c>
      <c r="Y122">
        <v>12.21704167</v>
      </c>
      <c r="Z122">
        <f t="shared" si="2"/>
        <v>92679</v>
      </c>
    </row>
    <row r="123" spans="1:27">
      <c r="A123" s="1">
        <v>44863.708333333336</v>
      </c>
      <c r="B123" s="2" t="s">
        <v>12</v>
      </c>
      <c r="C123">
        <v>9</v>
      </c>
      <c r="D123" s="2" t="s">
        <v>206</v>
      </c>
      <c r="E123">
        <v>45</v>
      </c>
      <c r="F123" s="2" t="s">
        <v>207</v>
      </c>
      <c r="G123" s="2" t="s">
        <v>208</v>
      </c>
      <c r="H123">
        <v>4403674425</v>
      </c>
      <c r="I123">
        <v>1014173829</v>
      </c>
      <c r="J123">
        <v>74508</v>
      </c>
      <c r="K123" s="2" t="s">
        <v>588</v>
      </c>
      <c r="L123" s="2" t="s">
        <v>430</v>
      </c>
      <c r="M123" s="2" t="s">
        <v>439</v>
      </c>
      <c r="N123" s="2" t="s">
        <v>536</v>
      </c>
      <c r="Q123" s="5">
        <f t="shared" si="3"/>
        <v>44863.708333333336</v>
      </c>
      <c r="R123" t="s">
        <v>12</v>
      </c>
      <c r="S123">
        <v>5</v>
      </c>
      <c r="T123" t="s">
        <v>235</v>
      </c>
      <c r="U123">
        <v>28</v>
      </c>
      <c r="V123" t="s">
        <v>246</v>
      </c>
      <c r="W123" t="s">
        <v>247</v>
      </c>
      <c r="X123">
        <v>45.406929869999999</v>
      </c>
      <c r="Y123">
        <v>11.876087180000001</v>
      </c>
      <c r="Z123">
        <f t="shared" si="2"/>
        <v>470198</v>
      </c>
    </row>
    <row r="124" spans="1:27">
      <c r="A124" s="1">
        <v>44863.708333333336</v>
      </c>
      <c r="B124" s="2" t="s">
        <v>12</v>
      </c>
      <c r="C124">
        <v>9</v>
      </c>
      <c r="D124" s="2" t="s">
        <v>206</v>
      </c>
      <c r="E124">
        <v>46</v>
      </c>
      <c r="F124" s="2" t="s">
        <v>209</v>
      </c>
      <c r="G124" s="2" t="s">
        <v>210</v>
      </c>
      <c r="H124">
        <v>4384432283</v>
      </c>
      <c r="I124">
        <v>1050151366</v>
      </c>
      <c r="J124">
        <v>157861</v>
      </c>
      <c r="K124" s="2" t="s">
        <v>588</v>
      </c>
      <c r="L124" s="2" t="s">
        <v>430</v>
      </c>
      <c r="M124" s="2" t="s">
        <v>439</v>
      </c>
      <c r="N124" s="2" t="s">
        <v>537</v>
      </c>
      <c r="Q124" s="5">
        <f t="shared" si="3"/>
        <v>44863.708333333336</v>
      </c>
      <c r="R124" t="s">
        <v>12</v>
      </c>
      <c r="S124">
        <v>5</v>
      </c>
      <c r="T124" t="s">
        <v>235</v>
      </c>
      <c r="U124">
        <v>29</v>
      </c>
      <c r="V124" t="s">
        <v>248</v>
      </c>
      <c r="W124" t="s">
        <v>249</v>
      </c>
      <c r="X124">
        <v>45.071072890000003</v>
      </c>
      <c r="Y124">
        <v>11.79007</v>
      </c>
      <c r="Z124">
        <f t="shared" si="2"/>
        <v>103775</v>
      </c>
    </row>
    <row r="125" spans="1:27">
      <c r="A125" s="1">
        <v>44863.708333333336</v>
      </c>
      <c r="B125" s="2" t="s">
        <v>12</v>
      </c>
      <c r="C125">
        <v>9</v>
      </c>
      <c r="D125" s="2" t="s">
        <v>206</v>
      </c>
      <c r="E125">
        <v>47</v>
      </c>
      <c r="F125" s="2" t="s">
        <v>211</v>
      </c>
      <c r="G125" s="2" t="s">
        <v>212</v>
      </c>
      <c r="H125">
        <v>43933465</v>
      </c>
      <c r="I125">
        <v>1091734146</v>
      </c>
      <c r="J125">
        <v>115354</v>
      </c>
      <c r="K125" s="2" t="s">
        <v>588</v>
      </c>
      <c r="L125" s="2" t="s">
        <v>430</v>
      </c>
      <c r="M125" s="2" t="s">
        <v>439</v>
      </c>
      <c r="N125" s="2" t="s">
        <v>538</v>
      </c>
      <c r="Q125" s="5">
        <f t="shared" si="3"/>
        <v>44863.708333333336</v>
      </c>
      <c r="R125" t="s">
        <v>12</v>
      </c>
      <c r="S125">
        <v>5</v>
      </c>
      <c r="T125" t="s">
        <v>235</v>
      </c>
      <c r="U125">
        <v>26</v>
      </c>
      <c r="V125" t="s">
        <v>242</v>
      </c>
      <c r="W125" t="s">
        <v>243</v>
      </c>
      <c r="X125">
        <v>45.667545709999999</v>
      </c>
      <c r="Y125">
        <v>12.24507363</v>
      </c>
      <c r="Z125">
        <f t="shared" si="2"/>
        <v>436947</v>
      </c>
    </row>
    <row r="126" spans="1:27">
      <c r="A126" s="1">
        <v>44863.708333333336</v>
      </c>
      <c r="B126" s="2" t="s">
        <v>12</v>
      </c>
      <c r="C126">
        <v>9</v>
      </c>
      <c r="D126" s="2" t="s">
        <v>206</v>
      </c>
      <c r="E126">
        <v>48</v>
      </c>
      <c r="F126" s="2" t="s">
        <v>213</v>
      </c>
      <c r="G126" s="2" t="s">
        <v>214</v>
      </c>
      <c r="H126">
        <v>4376923077</v>
      </c>
      <c r="I126">
        <v>1125588885</v>
      </c>
      <c r="J126">
        <v>397328</v>
      </c>
      <c r="K126" s="2" t="s">
        <v>588</v>
      </c>
      <c r="L126" s="2" t="s">
        <v>430</v>
      </c>
      <c r="M126" s="2" t="s">
        <v>439</v>
      </c>
      <c r="N126" s="2" t="s">
        <v>539</v>
      </c>
      <c r="Q126" s="5">
        <f t="shared" si="3"/>
        <v>44863.708333333336</v>
      </c>
      <c r="R126" t="s">
        <v>12</v>
      </c>
      <c r="S126">
        <v>5</v>
      </c>
      <c r="T126" t="s">
        <v>235</v>
      </c>
      <c r="U126">
        <v>27</v>
      </c>
      <c r="V126" t="s">
        <v>244</v>
      </c>
      <c r="W126" t="s">
        <v>245</v>
      </c>
      <c r="X126">
        <v>45.434904850000002</v>
      </c>
      <c r="Y126">
        <v>12.33845213</v>
      </c>
      <c r="Z126">
        <f t="shared" si="2"/>
        <v>406325</v>
      </c>
    </row>
    <row r="127" spans="1:27">
      <c r="A127" s="1">
        <v>44863.708333333336</v>
      </c>
      <c r="B127" s="2" t="s">
        <v>12</v>
      </c>
      <c r="C127">
        <v>9</v>
      </c>
      <c r="D127" s="2" t="s">
        <v>206</v>
      </c>
      <c r="E127">
        <v>49</v>
      </c>
      <c r="F127" s="2" t="s">
        <v>215</v>
      </c>
      <c r="G127" s="2" t="s">
        <v>216</v>
      </c>
      <c r="H127">
        <v>4355234873</v>
      </c>
      <c r="I127">
        <v>103086781</v>
      </c>
      <c r="J127">
        <v>133098</v>
      </c>
      <c r="K127" s="2" t="s">
        <v>588</v>
      </c>
      <c r="L127" s="2" t="s">
        <v>430</v>
      </c>
      <c r="M127" s="2" t="s">
        <v>439</v>
      </c>
      <c r="N127" s="2" t="s">
        <v>540</v>
      </c>
      <c r="Q127" s="5">
        <f t="shared" si="3"/>
        <v>44863.708333333336</v>
      </c>
      <c r="R127" t="s">
        <v>12</v>
      </c>
      <c r="S127">
        <v>5</v>
      </c>
      <c r="T127" t="s">
        <v>235</v>
      </c>
      <c r="U127">
        <v>23</v>
      </c>
      <c r="V127" t="s">
        <v>236</v>
      </c>
      <c r="W127" t="s">
        <v>237</v>
      </c>
      <c r="X127">
        <v>45.438390460000001</v>
      </c>
      <c r="Y127">
        <v>10.99352685</v>
      </c>
      <c r="Z127">
        <f t="shared" si="2"/>
        <v>430328</v>
      </c>
    </row>
    <row r="128" spans="1:27">
      <c r="A128" s="1">
        <v>44863.708333333336</v>
      </c>
      <c r="B128" s="2" t="s">
        <v>12</v>
      </c>
      <c r="C128">
        <v>9</v>
      </c>
      <c r="D128" s="2" t="s">
        <v>206</v>
      </c>
      <c r="E128">
        <v>50</v>
      </c>
      <c r="F128" s="2" t="s">
        <v>217</v>
      </c>
      <c r="G128" s="2" t="s">
        <v>218</v>
      </c>
      <c r="H128">
        <v>4371553206</v>
      </c>
      <c r="I128">
        <v>1040127259</v>
      </c>
      <c r="J128">
        <v>170862</v>
      </c>
      <c r="K128" s="2" t="s">
        <v>588</v>
      </c>
      <c r="L128" s="2" t="s">
        <v>430</v>
      </c>
      <c r="M128" s="2" t="s">
        <v>439</v>
      </c>
      <c r="N128" s="2" t="s">
        <v>541</v>
      </c>
      <c r="Q128" s="5">
        <f t="shared" si="3"/>
        <v>44863.708333333336</v>
      </c>
      <c r="R128" t="s">
        <v>12</v>
      </c>
      <c r="S128">
        <v>5</v>
      </c>
      <c r="T128" t="s">
        <v>235</v>
      </c>
      <c r="U128">
        <v>24</v>
      </c>
      <c r="V128" t="s">
        <v>238</v>
      </c>
      <c r="W128" t="s">
        <v>239</v>
      </c>
      <c r="X128">
        <v>45.547497</v>
      </c>
      <c r="Y128">
        <v>11.54597109</v>
      </c>
      <c r="Z128">
        <f t="shared" si="2"/>
        <v>428620</v>
      </c>
    </row>
    <row r="129" spans="1:27">
      <c r="A129" s="1">
        <v>44863.708333333336</v>
      </c>
      <c r="B129" s="2" t="s">
        <v>12</v>
      </c>
      <c r="C129">
        <v>9</v>
      </c>
      <c r="D129" s="2" t="s">
        <v>206</v>
      </c>
      <c r="E129">
        <v>51</v>
      </c>
      <c r="F129" s="2" t="s">
        <v>219</v>
      </c>
      <c r="G129" s="2" t="s">
        <v>220</v>
      </c>
      <c r="H129">
        <v>4346642752</v>
      </c>
      <c r="I129">
        <v>1188228844</v>
      </c>
      <c r="J129">
        <v>133537</v>
      </c>
      <c r="K129" s="2" t="s">
        <v>588</v>
      </c>
      <c r="L129" s="2" t="s">
        <v>430</v>
      </c>
      <c r="M129" s="2" t="s">
        <v>439</v>
      </c>
      <c r="N129" s="2" t="s">
        <v>542</v>
      </c>
      <c r="Q129" s="5">
        <f t="shared" si="3"/>
        <v>44863.708333333336</v>
      </c>
      <c r="R129" t="s">
        <v>12</v>
      </c>
      <c r="S129">
        <v>5</v>
      </c>
      <c r="T129" t="s">
        <v>235</v>
      </c>
      <c r="U129">
        <v>999</v>
      </c>
      <c r="V129" t="s">
        <v>264</v>
      </c>
      <c r="X129">
        <v>0</v>
      </c>
      <c r="Y129">
        <v>0</v>
      </c>
      <c r="Z129">
        <f t="shared" si="2"/>
        <v>0</v>
      </c>
      <c r="AA129">
        <f>SUMIFS(J:J,F:F,"Fuori Regione / Provincia Autonoma",D:D,T129)</f>
        <v>36823</v>
      </c>
    </row>
    <row r="130" spans="1:27">
      <c r="A130" s="1">
        <v>44863.708333333336</v>
      </c>
      <c r="B130" s="2" t="s">
        <v>12</v>
      </c>
      <c r="C130">
        <v>9</v>
      </c>
      <c r="D130" s="2" t="s">
        <v>206</v>
      </c>
      <c r="E130">
        <v>52</v>
      </c>
      <c r="F130" s="2" t="s">
        <v>221</v>
      </c>
      <c r="G130" s="2" t="s">
        <v>222</v>
      </c>
      <c r="H130">
        <v>4331816374</v>
      </c>
      <c r="I130">
        <v>1133190988</v>
      </c>
      <c r="J130">
        <v>105831</v>
      </c>
      <c r="K130" s="2" t="s">
        <v>588</v>
      </c>
      <c r="L130" s="2" t="s">
        <v>430</v>
      </c>
      <c r="M130" s="2" t="s">
        <v>439</v>
      </c>
      <c r="N130" s="2" t="s">
        <v>543</v>
      </c>
    </row>
    <row r="131" spans="1:27">
      <c r="A131" s="1">
        <v>44863.708333333336</v>
      </c>
      <c r="B131" s="2" t="s">
        <v>12</v>
      </c>
      <c r="C131">
        <v>9</v>
      </c>
      <c r="D131" s="2" t="s">
        <v>206</v>
      </c>
      <c r="E131">
        <v>53</v>
      </c>
      <c r="F131" s="2" t="s">
        <v>223</v>
      </c>
      <c r="G131" s="2" t="s">
        <v>224</v>
      </c>
      <c r="H131">
        <v>4276026758</v>
      </c>
      <c r="I131">
        <v>1111356398</v>
      </c>
      <c r="J131">
        <v>81633</v>
      </c>
      <c r="K131" s="2" t="s">
        <v>588</v>
      </c>
      <c r="L131" s="2" t="s">
        <v>430</v>
      </c>
      <c r="M131" s="2" t="s">
        <v>439</v>
      </c>
      <c r="N131" s="2" t="s">
        <v>544</v>
      </c>
    </row>
    <row r="132" spans="1:27">
      <c r="A132" s="1">
        <v>44863.708333333336</v>
      </c>
      <c r="B132" s="2" t="s">
        <v>12</v>
      </c>
      <c r="C132">
        <v>9</v>
      </c>
      <c r="D132" s="2" t="s">
        <v>206</v>
      </c>
      <c r="E132">
        <v>100</v>
      </c>
      <c r="F132" s="2" t="s">
        <v>225</v>
      </c>
      <c r="G132" s="2" t="s">
        <v>226</v>
      </c>
      <c r="H132">
        <v>4388062274</v>
      </c>
      <c r="I132">
        <v>1109703315</v>
      </c>
      <c r="J132">
        <v>97356</v>
      </c>
      <c r="K132" s="2" t="s">
        <v>588</v>
      </c>
      <c r="L132" s="2" t="s">
        <v>430</v>
      </c>
      <c r="M132" s="2" t="s">
        <v>439</v>
      </c>
      <c r="N132" s="2" t="s">
        <v>545</v>
      </c>
      <c r="Q132" s="1" t="s">
        <v>348</v>
      </c>
    </row>
    <row r="133" spans="1:27">
      <c r="A133" s="1">
        <v>44863.708333333336</v>
      </c>
      <c r="B133" s="2" t="s">
        <v>12</v>
      </c>
      <c r="C133">
        <v>9</v>
      </c>
      <c r="D133" s="2" t="s">
        <v>206</v>
      </c>
      <c r="E133">
        <v>895</v>
      </c>
      <c r="F133" s="2" t="s">
        <v>22</v>
      </c>
      <c r="G133" s="2" t="s">
        <v>588</v>
      </c>
      <c r="J133">
        <v>555</v>
      </c>
      <c r="K133" s="2" t="s">
        <v>588</v>
      </c>
      <c r="L133" s="2" t="s">
        <v>430</v>
      </c>
      <c r="M133" s="2" t="s">
        <v>439</v>
      </c>
      <c r="N133" s="2" t="s">
        <v>588</v>
      </c>
      <c r="Q133" s="3" t="s">
        <v>350</v>
      </c>
    </row>
    <row r="134" spans="1:27">
      <c r="A134" s="1">
        <v>44863.708333333336</v>
      </c>
      <c r="B134" s="2" t="s">
        <v>12</v>
      </c>
      <c r="C134">
        <v>9</v>
      </c>
      <c r="D134" s="2" t="s">
        <v>206</v>
      </c>
      <c r="E134">
        <v>995</v>
      </c>
      <c r="F134" s="2" t="s">
        <v>23</v>
      </c>
      <c r="G134" s="2" t="s">
        <v>588</v>
      </c>
      <c r="J134">
        <v>111</v>
      </c>
      <c r="K134" s="2" t="s">
        <v>588</v>
      </c>
      <c r="L134" s="2" t="s">
        <v>430</v>
      </c>
      <c r="M134" s="2" t="s">
        <v>439</v>
      </c>
      <c r="N134" s="2" t="s">
        <v>588</v>
      </c>
      <c r="Q134" s="6" t="s">
        <v>0</v>
      </c>
    </row>
    <row r="135" spans="1:27">
      <c r="A135" s="1">
        <v>44863.708333333336</v>
      </c>
      <c r="B135" s="2" t="s">
        <v>12</v>
      </c>
      <c r="C135">
        <v>10</v>
      </c>
      <c r="D135" s="2" t="s">
        <v>227</v>
      </c>
      <c r="E135">
        <v>54</v>
      </c>
      <c r="F135" s="2" t="s">
        <v>228</v>
      </c>
      <c r="G135" s="2" t="s">
        <v>229</v>
      </c>
      <c r="H135">
        <v>4310675841</v>
      </c>
      <c r="I135">
        <v>1238824698</v>
      </c>
      <c r="J135">
        <v>292046</v>
      </c>
      <c r="K135" s="2" t="s">
        <v>588</v>
      </c>
      <c r="L135" s="2" t="s">
        <v>430</v>
      </c>
      <c r="M135" s="2" t="s">
        <v>446</v>
      </c>
      <c r="N135" s="2" t="s">
        <v>546</v>
      </c>
    </row>
    <row r="136" spans="1:27">
      <c r="A136" s="1">
        <v>44863.708333333336</v>
      </c>
      <c r="B136" s="2" t="s">
        <v>12</v>
      </c>
      <c r="C136">
        <v>10</v>
      </c>
      <c r="D136" s="2" t="s">
        <v>227</v>
      </c>
      <c r="E136">
        <v>55</v>
      </c>
      <c r="F136" s="2" t="s">
        <v>230</v>
      </c>
      <c r="G136" s="2" t="s">
        <v>231</v>
      </c>
      <c r="H136">
        <v>4256071258</v>
      </c>
      <c r="I136">
        <v>126466875</v>
      </c>
      <c r="J136">
        <v>91238</v>
      </c>
      <c r="K136" s="2" t="s">
        <v>588</v>
      </c>
      <c r="L136" s="2" t="s">
        <v>430</v>
      </c>
      <c r="M136" s="2" t="s">
        <v>446</v>
      </c>
      <c r="N136" s="2" t="s">
        <v>547</v>
      </c>
      <c r="Q136" s="5">
        <v>44476.708333333336</v>
      </c>
      <c r="R136" t="s">
        <v>12</v>
      </c>
      <c r="S136">
        <v>13</v>
      </c>
      <c r="T136" t="s">
        <v>13</v>
      </c>
      <c r="U136">
        <v>69</v>
      </c>
      <c r="V136" t="s">
        <v>20</v>
      </c>
      <c r="W136" t="s">
        <v>21</v>
      </c>
      <c r="X136">
        <v>42.351031669999998</v>
      </c>
      <c r="Y136">
        <v>14.16754574</v>
      </c>
      <c r="Z136">
        <v>20750</v>
      </c>
    </row>
    <row r="137" spans="1:27">
      <c r="A137" s="1">
        <v>44863.708333333336</v>
      </c>
      <c r="B137" s="2" t="s">
        <v>12</v>
      </c>
      <c r="C137">
        <v>10</v>
      </c>
      <c r="D137" s="2" t="s">
        <v>227</v>
      </c>
      <c r="E137">
        <v>897</v>
      </c>
      <c r="F137" s="2" t="s">
        <v>22</v>
      </c>
      <c r="G137" s="2" t="s">
        <v>588</v>
      </c>
      <c r="J137">
        <v>17536</v>
      </c>
      <c r="K137" s="2" t="s">
        <v>588</v>
      </c>
      <c r="L137" s="2" t="s">
        <v>430</v>
      </c>
      <c r="M137" s="2" t="s">
        <v>446</v>
      </c>
      <c r="N137" s="2" t="s">
        <v>588</v>
      </c>
      <c r="Q137" s="5">
        <v>44476.708333333336</v>
      </c>
      <c r="R137" t="s">
        <v>12</v>
      </c>
      <c r="S137">
        <v>13</v>
      </c>
      <c r="T137" t="s">
        <v>13</v>
      </c>
      <c r="U137">
        <v>66</v>
      </c>
      <c r="V137" t="s">
        <v>14</v>
      </c>
      <c r="W137" t="s">
        <v>15</v>
      </c>
      <c r="X137">
        <v>42.351221959999997</v>
      </c>
      <c r="Y137">
        <v>13.39843823</v>
      </c>
      <c r="Z137">
        <v>20738</v>
      </c>
    </row>
    <row r="138" spans="1:27">
      <c r="A138" s="1">
        <v>44863.708333333336</v>
      </c>
      <c r="B138" s="2" t="s">
        <v>12</v>
      </c>
      <c r="C138">
        <v>10</v>
      </c>
      <c r="D138" s="2" t="s">
        <v>227</v>
      </c>
      <c r="E138">
        <v>997</v>
      </c>
      <c r="F138" s="2" t="s">
        <v>23</v>
      </c>
      <c r="G138" s="2" t="s">
        <v>588</v>
      </c>
      <c r="J138">
        <v>0</v>
      </c>
      <c r="K138" s="2" t="s">
        <v>588</v>
      </c>
      <c r="L138" s="2" t="s">
        <v>430</v>
      </c>
      <c r="M138" s="2" t="s">
        <v>446</v>
      </c>
      <c r="N138" s="2" t="s">
        <v>588</v>
      </c>
      <c r="Q138" s="5">
        <v>44476.708333333336</v>
      </c>
      <c r="R138" t="s">
        <v>12</v>
      </c>
      <c r="S138">
        <v>13</v>
      </c>
      <c r="T138" t="s">
        <v>13</v>
      </c>
      <c r="U138">
        <v>68</v>
      </c>
      <c r="V138" t="s">
        <v>18</v>
      </c>
      <c r="W138" t="s">
        <v>19</v>
      </c>
      <c r="X138">
        <v>42.46458398</v>
      </c>
      <c r="Y138">
        <v>14.21364822</v>
      </c>
      <c r="Z138">
        <v>19665</v>
      </c>
    </row>
    <row r="139" spans="1:27">
      <c r="A139" s="1">
        <v>44863.708333333336</v>
      </c>
      <c r="B139" s="2" t="s">
        <v>12</v>
      </c>
      <c r="C139">
        <v>2</v>
      </c>
      <c r="D139" s="2" t="s">
        <v>232</v>
      </c>
      <c r="E139">
        <v>7</v>
      </c>
      <c r="F139" s="2" t="s">
        <v>233</v>
      </c>
      <c r="G139" s="2" t="s">
        <v>234</v>
      </c>
      <c r="H139">
        <v>4573750286</v>
      </c>
      <c r="I139">
        <v>7320149366</v>
      </c>
      <c r="J139">
        <v>43592</v>
      </c>
      <c r="K139" s="2" t="s">
        <v>588</v>
      </c>
      <c r="L139" s="2" t="s">
        <v>432</v>
      </c>
      <c r="M139" s="2" t="s">
        <v>447</v>
      </c>
      <c r="N139" s="2" t="s">
        <v>548</v>
      </c>
      <c r="Q139" s="5">
        <v>44476.708333333336</v>
      </c>
      <c r="R139" t="s">
        <v>12</v>
      </c>
      <c r="S139">
        <v>13</v>
      </c>
      <c r="T139" t="s">
        <v>13</v>
      </c>
      <c r="U139">
        <v>67</v>
      </c>
      <c r="V139" t="s">
        <v>16</v>
      </c>
      <c r="W139" t="s">
        <v>17</v>
      </c>
      <c r="X139">
        <v>42.658917700000003</v>
      </c>
      <c r="Y139">
        <v>13.704399710000001</v>
      </c>
      <c r="Z139">
        <v>19592</v>
      </c>
    </row>
    <row r="140" spans="1:27">
      <c r="A140" s="1">
        <v>44863.708333333336</v>
      </c>
      <c r="B140" s="2" t="s">
        <v>12</v>
      </c>
      <c r="C140">
        <v>2</v>
      </c>
      <c r="D140" s="2" t="s">
        <v>232</v>
      </c>
      <c r="E140">
        <v>898</v>
      </c>
      <c r="F140" s="2" t="s">
        <v>22</v>
      </c>
      <c r="G140" s="2" t="s">
        <v>588</v>
      </c>
      <c r="J140">
        <v>3835</v>
      </c>
      <c r="K140" s="2" t="s">
        <v>588</v>
      </c>
      <c r="L140" s="2" t="s">
        <v>432</v>
      </c>
      <c r="M140" s="2" t="s">
        <v>447</v>
      </c>
      <c r="N140" s="2" t="s">
        <v>588</v>
      </c>
      <c r="Q140" s="5">
        <v>44476.708333333336</v>
      </c>
      <c r="R140" t="s">
        <v>12</v>
      </c>
      <c r="S140">
        <v>13</v>
      </c>
      <c r="T140" t="s">
        <v>13</v>
      </c>
      <c r="U140">
        <v>979</v>
      </c>
      <c r="V140" t="s">
        <v>264</v>
      </c>
      <c r="X140">
        <v>0</v>
      </c>
      <c r="Y140">
        <v>0</v>
      </c>
      <c r="Z140">
        <v>0</v>
      </c>
      <c r="AA140">
        <v>671</v>
      </c>
    </row>
    <row r="141" spans="1:27">
      <c r="A141" s="1">
        <v>44863.708333333336</v>
      </c>
      <c r="B141" s="2" t="s">
        <v>12</v>
      </c>
      <c r="C141">
        <v>2</v>
      </c>
      <c r="D141" s="2" t="s">
        <v>232</v>
      </c>
      <c r="E141">
        <v>998</v>
      </c>
      <c r="F141" s="2" t="s">
        <v>23</v>
      </c>
      <c r="G141" s="2" t="s">
        <v>588</v>
      </c>
      <c r="J141">
        <v>137</v>
      </c>
      <c r="K141" s="2" t="s">
        <v>588</v>
      </c>
      <c r="L141" s="2" t="s">
        <v>432</v>
      </c>
      <c r="M141" s="2" t="s">
        <v>447</v>
      </c>
      <c r="N141" s="2" t="s">
        <v>588</v>
      </c>
      <c r="Q141" s="5">
        <v>44476.708333333336</v>
      </c>
      <c r="R141" t="s">
        <v>12</v>
      </c>
      <c r="S141">
        <v>17</v>
      </c>
      <c r="T141" t="s">
        <v>24</v>
      </c>
      <c r="U141">
        <v>77</v>
      </c>
      <c r="V141" t="s">
        <v>27</v>
      </c>
      <c r="W141" t="s">
        <v>28</v>
      </c>
      <c r="X141">
        <v>40.667511769999997</v>
      </c>
      <c r="Y141">
        <v>16.597924419999998</v>
      </c>
      <c r="Z141">
        <v>9812</v>
      </c>
    </row>
    <row r="142" spans="1:27">
      <c r="A142" s="1">
        <v>44863.708333333336</v>
      </c>
      <c r="B142" s="2" t="s">
        <v>12</v>
      </c>
      <c r="C142">
        <v>5</v>
      </c>
      <c r="D142" s="2" t="s">
        <v>235</v>
      </c>
      <c r="E142">
        <v>23</v>
      </c>
      <c r="F142" s="2" t="s">
        <v>236</v>
      </c>
      <c r="G142" s="2" t="s">
        <v>237</v>
      </c>
      <c r="H142">
        <v>4543839046</v>
      </c>
      <c r="I142">
        <v>1099352685</v>
      </c>
      <c r="J142">
        <v>430328</v>
      </c>
      <c r="K142" s="2" t="s">
        <v>588</v>
      </c>
      <c r="L142" s="2" t="s">
        <v>427</v>
      </c>
      <c r="M142" s="2" t="s">
        <v>448</v>
      </c>
      <c r="N142" s="2" t="s">
        <v>549</v>
      </c>
      <c r="Q142" s="5">
        <v>44476.708333333336</v>
      </c>
      <c r="R142" t="s">
        <v>12</v>
      </c>
      <c r="S142">
        <v>17</v>
      </c>
      <c r="T142" t="s">
        <v>24</v>
      </c>
      <c r="U142">
        <v>76</v>
      </c>
      <c r="V142" t="s">
        <v>25</v>
      </c>
      <c r="W142" t="s">
        <v>26</v>
      </c>
      <c r="X142">
        <v>40.639470520000003</v>
      </c>
      <c r="Y142">
        <v>15.805148340000001</v>
      </c>
      <c r="Z142">
        <v>19720</v>
      </c>
    </row>
    <row r="143" spans="1:27">
      <c r="A143" s="1">
        <v>44863.708333333336</v>
      </c>
      <c r="B143" s="2" t="s">
        <v>12</v>
      </c>
      <c r="C143">
        <v>5</v>
      </c>
      <c r="D143" s="2" t="s">
        <v>235</v>
      </c>
      <c r="E143">
        <v>24</v>
      </c>
      <c r="F143" s="2" t="s">
        <v>238</v>
      </c>
      <c r="G143" s="2" t="s">
        <v>239</v>
      </c>
      <c r="H143">
        <v>45547497</v>
      </c>
      <c r="I143">
        <v>1154597109</v>
      </c>
      <c r="J143">
        <v>428620</v>
      </c>
      <c r="K143" s="2" t="s">
        <v>588</v>
      </c>
      <c r="L143" s="2" t="s">
        <v>427</v>
      </c>
      <c r="M143" s="2" t="s">
        <v>448</v>
      </c>
      <c r="N143" s="2" t="s">
        <v>550</v>
      </c>
      <c r="Q143" s="5">
        <v>44476.708333333336</v>
      </c>
      <c r="R143" t="s">
        <v>12</v>
      </c>
      <c r="S143">
        <v>17</v>
      </c>
      <c r="T143" t="s">
        <v>24</v>
      </c>
      <c r="U143">
        <v>980</v>
      </c>
      <c r="V143" t="s">
        <v>264</v>
      </c>
      <c r="X143">
        <v>0</v>
      </c>
      <c r="Y143">
        <v>0</v>
      </c>
      <c r="Z143">
        <v>0</v>
      </c>
      <c r="AA143">
        <v>838</v>
      </c>
    </row>
    <row r="144" spans="1:27">
      <c r="A144" s="1">
        <v>44863.708333333336</v>
      </c>
      <c r="B144" s="2" t="s">
        <v>12</v>
      </c>
      <c r="C144">
        <v>5</v>
      </c>
      <c r="D144" s="2" t="s">
        <v>235</v>
      </c>
      <c r="E144">
        <v>25</v>
      </c>
      <c r="F144" s="2" t="s">
        <v>240</v>
      </c>
      <c r="G144" s="2" t="s">
        <v>241</v>
      </c>
      <c r="H144">
        <v>4613837528</v>
      </c>
      <c r="I144">
        <v>1221704167</v>
      </c>
      <c r="J144">
        <v>92679</v>
      </c>
      <c r="K144" s="2" t="s">
        <v>588</v>
      </c>
      <c r="L144" s="2" t="s">
        <v>427</v>
      </c>
      <c r="M144" s="2" t="s">
        <v>448</v>
      </c>
      <c r="N144" s="2" t="s">
        <v>551</v>
      </c>
      <c r="Q144" s="5">
        <v>44476.708333333336</v>
      </c>
      <c r="R144" t="s">
        <v>12</v>
      </c>
      <c r="S144">
        <v>21</v>
      </c>
      <c r="T144" t="s">
        <v>140</v>
      </c>
      <c r="U144">
        <v>21</v>
      </c>
      <c r="V144" t="s">
        <v>141</v>
      </c>
      <c r="W144" t="s">
        <v>142</v>
      </c>
      <c r="X144">
        <v>46.499334529999999</v>
      </c>
      <c r="Y144">
        <v>11.35662422</v>
      </c>
      <c r="Z144">
        <v>77297</v>
      </c>
    </row>
    <row r="145" spans="1:27">
      <c r="A145" s="1">
        <v>44863.708333333336</v>
      </c>
      <c r="B145" s="2" t="s">
        <v>12</v>
      </c>
      <c r="C145">
        <v>5</v>
      </c>
      <c r="D145" s="2" t="s">
        <v>235</v>
      </c>
      <c r="E145">
        <v>26</v>
      </c>
      <c r="F145" s="2" t="s">
        <v>242</v>
      </c>
      <c r="G145" s="2" t="s">
        <v>243</v>
      </c>
      <c r="H145">
        <v>4566754571</v>
      </c>
      <c r="I145">
        <v>1224507363</v>
      </c>
      <c r="J145">
        <v>436947</v>
      </c>
      <c r="K145" s="2" t="s">
        <v>588</v>
      </c>
      <c r="L145" s="2" t="s">
        <v>427</v>
      </c>
      <c r="M145" s="2" t="s">
        <v>448</v>
      </c>
      <c r="N145" s="2" t="s">
        <v>552</v>
      </c>
      <c r="Q145" s="5">
        <v>44476.708333333336</v>
      </c>
      <c r="R145" t="s">
        <v>12</v>
      </c>
      <c r="S145">
        <v>21</v>
      </c>
      <c r="T145" t="s">
        <v>140</v>
      </c>
      <c r="U145">
        <v>981</v>
      </c>
      <c r="V145" t="s">
        <v>264</v>
      </c>
      <c r="X145">
        <v>0</v>
      </c>
      <c r="Y145">
        <v>0</v>
      </c>
      <c r="Z145">
        <v>0</v>
      </c>
      <c r="AA145">
        <v>0</v>
      </c>
    </row>
    <row r="146" spans="1:27">
      <c r="A146" s="1">
        <v>44863.708333333336</v>
      </c>
      <c r="B146" s="2" t="s">
        <v>12</v>
      </c>
      <c r="C146">
        <v>5</v>
      </c>
      <c r="D146" s="2" t="s">
        <v>235</v>
      </c>
      <c r="E146">
        <v>27</v>
      </c>
      <c r="F146" s="2" t="s">
        <v>244</v>
      </c>
      <c r="G146" s="2" t="s">
        <v>245</v>
      </c>
      <c r="H146">
        <v>4543490485</v>
      </c>
      <c r="I146">
        <v>1233845213</v>
      </c>
      <c r="J146">
        <v>406325</v>
      </c>
      <c r="K146" s="2" t="s">
        <v>588</v>
      </c>
      <c r="L146" s="2" t="s">
        <v>427</v>
      </c>
      <c r="M146" s="2" t="s">
        <v>448</v>
      </c>
      <c r="N146" s="2" t="s">
        <v>553</v>
      </c>
      <c r="Q146" s="5">
        <v>44476.708333333336</v>
      </c>
      <c r="R146" t="s">
        <v>12</v>
      </c>
      <c r="S146">
        <v>18</v>
      </c>
      <c r="T146" t="s">
        <v>29</v>
      </c>
      <c r="U146">
        <v>79</v>
      </c>
      <c r="V146" t="s">
        <v>32</v>
      </c>
      <c r="W146" t="s">
        <v>33</v>
      </c>
      <c r="X146">
        <v>38.905975980000001</v>
      </c>
      <c r="Y146">
        <v>16.594401940000001</v>
      </c>
      <c r="Z146">
        <v>11444</v>
      </c>
    </row>
    <row r="147" spans="1:27">
      <c r="A147" s="1">
        <v>44863.708333333336</v>
      </c>
      <c r="B147" s="2" t="s">
        <v>12</v>
      </c>
      <c r="C147">
        <v>5</v>
      </c>
      <c r="D147" s="2" t="s">
        <v>235</v>
      </c>
      <c r="E147">
        <v>28</v>
      </c>
      <c r="F147" s="2" t="s">
        <v>246</v>
      </c>
      <c r="G147" s="2" t="s">
        <v>247</v>
      </c>
      <c r="H147">
        <v>4540692987</v>
      </c>
      <c r="I147">
        <v>1187608718</v>
      </c>
      <c r="J147">
        <v>470198</v>
      </c>
      <c r="K147" s="2" t="s">
        <v>588</v>
      </c>
      <c r="L147" s="2" t="s">
        <v>427</v>
      </c>
      <c r="M147" s="2" t="s">
        <v>448</v>
      </c>
      <c r="N147" s="2" t="s">
        <v>554</v>
      </c>
      <c r="Q147" s="5">
        <v>44476.708333333336</v>
      </c>
      <c r="R147" t="s">
        <v>12</v>
      </c>
      <c r="S147">
        <v>18</v>
      </c>
      <c r="T147" t="s">
        <v>29</v>
      </c>
      <c r="U147">
        <v>78</v>
      </c>
      <c r="V147" t="s">
        <v>30</v>
      </c>
      <c r="W147" t="s">
        <v>31</v>
      </c>
      <c r="X147">
        <v>39.293086809999998</v>
      </c>
      <c r="Y147">
        <v>16.256096920000001</v>
      </c>
      <c r="Z147">
        <v>27519</v>
      </c>
    </row>
    <row r="148" spans="1:27">
      <c r="A148" s="1">
        <v>44863.708333333336</v>
      </c>
      <c r="B148" s="2" t="s">
        <v>12</v>
      </c>
      <c r="C148">
        <v>5</v>
      </c>
      <c r="D148" s="2" t="s">
        <v>235</v>
      </c>
      <c r="E148">
        <v>29</v>
      </c>
      <c r="F148" s="2" t="s">
        <v>248</v>
      </c>
      <c r="G148" s="2" t="s">
        <v>249</v>
      </c>
      <c r="H148">
        <v>4507107289</v>
      </c>
      <c r="I148">
        <v>1179007</v>
      </c>
      <c r="J148">
        <v>103775</v>
      </c>
      <c r="K148" s="2" t="s">
        <v>588</v>
      </c>
      <c r="L148" s="2" t="s">
        <v>427</v>
      </c>
      <c r="M148" s="2" t="s">
        <v>448</v>
      </c>
      <c r="N148" s="2" t="s">
        <v>555</v>
      </c>
      <c r="Q148" s="5">
        <v>44476.708333333336</v>
      </c>
      <c r="R148" t="s">
        <v>12</v>
      </c>
      <c r="S148">
        <v>18</v>
      </c>
      <c r="T148" t="s">
        <v>29</v>
      </c>
      <c r="U148">
        <v>101</v>
      </c>
      <c r="V148" t="s">
        <v>36</v>
      </c>
      <c r="W148" t="s">
        <v>37</v>
      </c>
      <c r="X148">
        <v>39.080368780000001</v>
      </c>
      <c r="Y148">
        <v>17.125388640000001</v>
      </c>
      <c r="Z148">
        <v>8214</v>
      </c>
    </row>
    <row r="149" spans="1:27">
      <c r="A149" s="1">
        <v>44863.708333333336</v>
      </c>
      <c r="B149" s="2" t="s">
        <v>12</v>
      </c>
      <c r="C149">
        <v>5</v>
      </c>
      <c r="D149" s="2" t="s">
        <v>235</v>
      </c>
      <c r="E149">
        <v>899</v>
      </c>
      <c r="F149" s="2" t="s">
        <v>22</v>
      </c>
      <c r="G149" s="2" t="s">
        <v>588</v>
      </c>
      <c r="J149">
        <v>36823</v>
      </c>
      <c r="K149" s="2" t="s">
        <v>588</v>
      </c>
      <c r="L149" s="2" t="s">
        <v>427</v>
      </c>
      <c r="M149" s="2" t="s">
        <v>448</v>
      </c>
      <c r="N149" s="2" t="s">
        <v>588</v>
      </c>
      <c r="Q149" s="5">
        <v>44476.708333333336</v>
      </c>
      <c r="R149" t="s">
        <v>12</v>
      </c>
      <c r="S149">
        <v>18</v>
      </c>
      <c r="T149" t="s">
        <v>29</v>
      </c>
      <c r="U149">
        <v>80</v>
      </c>
      <c r="V149" t="s">
        <v>34</v>
      </c>
      <c r="W149" t="s">
        <v>35</v>
      </c>
      <c r="X149">
        <v>38.109227689999997</v>
      </c>
      <c r="Y149">
        <v>15.643452699999999</v>
      </c>
      <c r="Z149">
        <v>29682</v>
      </c>
    </row>
    <row r="150" spans="1:27">
      <c r="A150" s="1">
        <v>44863.708333333336</v>
      </c>
      <c r="B150" s="2" t="s">
        <v>12</v>
      </c>
      <c r="C150">
        <v>5</v>
      </c>
      <c r="D150" s="2" t="s">
        <v>235</v>
      </c>
      <c r="E150">
        <v>999</v>
      </c>
      <c r="F150" s="2" t="s">
        <v>23</v>
      </c>
      <c r="G150" s="2" t="s">
        <v>588</v>
      </c>
      <c r="J150">
        <v>11825</v>
      </c>
      <c r="K150" s="2" t="s">
        <v>588</v>
      </c>
      <c r="L150" s="2" t="s">
        <v>427</v>
      </c>
      <c r="M150" s="2" t="s">
        <v>448</v>
      </c>
      <c r="N150" s="2" t="s">
        <v>588</v>
      </c>
      <c r="Q150" s="5">
        <v>44476.708333333336</v>
      </c>
      <c r="R150" t="s">
        <v>12</v>
      </c>
      <c r="S150">
        <v>18</v>
      </c>
      <c r="T150" t="s">
        <v>29</v>
      </c>
      <c r="U150">
        <v>102</v>
      </c>
      <c r="V150" t="s">
        <v>38</v>
      </c>
      <c r="W150" t="s">
        <v>39</v>
      </c>
      <c r="X150">
        <v>38.676241470000001</v>
      </c>
      <c r="Y150">
        <v>16.10157414</v>
      </c>
      <c r="Z150">
        <v>6411</v>
      </c>
    </row>
    <row r="151" spans="1:27">
      <c r="Q151" s="5">
        <v>44476.708333333336</v>
      </c>
      <c r="R151" t="s">
        <v>12</v>
      </c>
      <c r="S151">
        <v>18</v>
      </c>
      <c r="T151" t="s">
        <v>29</v>
      </c>
      <c r="U151">
        <v>982</v>
      </c>
      <c r="V151" t="s">
        <v>264</v>
      </c>
      <c r="X151">
        <v>0</v>
      </c>
      <c r="Y151">
        <v>0</v>
      </c>
      <c r="Z151">
        <v>0</v>
      </c>
      <c r="AA151">
        <v>1280</v>
      </c>
    </row>
    <row r="152" spans="1:27">
      <c r="Q152" s="5">
        <v>44476.708333333336</v>
      </c>
      <c r="R152" t="s">
        <v>12</v>
      </c>
      <c r="S152">
        <v>15</v>
      </c>
      <c r="T152" t="s">
        <v>40</v>
      </c>
      <c r="U152">
        <v>64</v>
      </c>
      <c r="V152" t="s">
        <v>47</v>
      </c>
      <c r="W152" t="s">
        <v>48</v>
      </c>
      <c r="X152">
        <v>40.914046990000003</v>
      </c>
      <c r="Y152">
        <v>14.79528803</v>
      </c>
      <c r="Z152">
        <v>21476</v>
      </c>
    </row>
    <row r="153" spans="1:27">
      <c r="Q153" s="5">
        <v>44476.708333333336</v>
      </c>
      <c r="R153" t="s">
        <v>12</v>
      </c>
      <c r="S153">
        <v>15</v>
      </c>
      <c r="T153" t="s">
        <v>40</v>
      </c>
      <c r="U153">
        <v>62</v>
      </c>
      <c r="V153" t="s">
        <v>43</v>
      </c>
      <c r="W153" t="s">
        <v>44</v>
      </c>
      <c r="X153">
        <v>41.129699870000003</v>
      </c>
      <c r="Y153">
        <v>14.781516829999999</v>
      </c>
      <c r="Z153">
        <v>13522</v>
      </c>
    </row>
    <row r="154" spans="1:27">
      <c r="Q154" s="5">
        <v>44476.708333333336</v>
      </c>
      <c r="R154" t="s">
        <v>12</v>
      </c>
      <c r="S154">
        <v>15</v>
      </c>
      <c r="T154" t="s">
        <v>40</v>
      </c>
      <c r="U154">
        <v>61</v>
      </c>
      <c r="V154" t="s">
        <v>41</v>
      </c>
      <c r="W154" t="s">
        <v>42</v>
      </c>
      <c r="X154">
        <v>41.07465878</v>
      </c>
      <c r="Y154">
        <v>14.33240464</v>
      </c>
      <c r="Z154">
        <v>69811</v>
      </c>
    </row>
    <row r="155" spans="1:27">
      <c r="Q155" s="5">
        <v>44476.708333333336</v>
      </c>
      <c r="R155" t="s">
        <v>12</v>
      </c>
      <c r="S155">
        <v>15</v>
      </c>
      <c r="T155" t="s">
        <v>40</v>
      </c>
      <c r="U155">
        <v>63</v>
      </c>
      <c r="V155" t="s">
        <v>45</v>
      </c>
      <c r="W155" t="s">
        <v>46</v>
      </c>
      <c r="X155">
        <v>40.839565550000003</v>
      </c>
      <c r="Y155">
        <v>14.250849840000001</v>
      </c>
      <c r="Z155">
        <v>271707</v>
      </c>
    </row>
    <row r="156" spans="1:27">
      <c r="Q156" s="5">
        <v>44476.708333333336</v>
      </c>
      <c r="R156" t="s">
        <v>12</v>
      </c>
      <c r="S156">
        <v>15</v>
      </c>
      <c r="T156" t="s">
        <v>40</v>
      </c>
      <c r="U156">
        <v>65</v>
      </c>
      <c r="V156" t="s">
        <v>49</v>
      </c>
      <c r="W156" t="s">
        <v>50</v>
      </c>
      <c r="X156">
        <v>40.678219609999999</v>
      </c>
      <c r="Y156">
        <v>14.7594025999999</v>
      </c>
      <c r="Z156">
        <v>73442</v>
      </c>
    </row>
    <row r="157" spans="1:27">
      <c r="Q157" s="5">
        <v>44476.708333333336</v>
      </c>
      <c r="R157" t="s">
        <v>12</v>
      </c>
      <c r="S157">
        <v>15</v>
      </c>
      <c r="T157" t="s">
        <v>40</v>
      </c>
      <c r="U157">
        <v>983</v>
      </c>
      <c r="V157" t="s">
        <v>264</v>
      </c>
      <c r="X157">
        <v>0</v>
      </c>
      <c r="Y157">
        <v>0</v>
      </c>
      <c r="Z157">
        <v>0</v>
      </c>
      <c r="AA157">
        <v>994</v>
      </c>
    </row>
    <row r="158" spans="1:27">
      <c r="Q158" s="5">
        <v>44476.708333333336</v>
      </c>
      <c r="R158" t="s">
        <v>12</v>
      </c>
      <c r="S158">
        <v>8</v>
      </c>
      <c r="T158" t="s">
        <v>51</v>
      </c>
      <c r="U158">
        <v>37</v>
      </c>
      <c r="V158" t="s">
        <v>60</v>
      </c>
      <c r="W158" t="s">
        <v>61</v>
      </c>
      <c r="X158">
        <v>44.494366810000002</v>
      </c>
      <c r="Y158">
        <v>11.341720799999999</v>
      </c>
      <c r="Z158">
        <v>101004</v>
      </c>
    </row>
    <row r="159" spans="1:27">
      <c r="Q159" s="5">
        <v>44476.708333333336</v>
      </c>
      <c r="R159" t="s">
        <v>12</v>
      </c>
      <c r="S159">
        <v>8</v>
      </c>
      <c r="T159" t="s">
        <v>51</v>
      </c>
      <c r="U159">
        <v>38</v>
      </c>
      <c r="V159" t="s">
        <v>62</v>
      </c>
      <c r="W159" t="s">
        <v>63</v>
      </c>
      <c r="X159">
        <v>44.835990850000002</v>
      </c>
      <c r="Y159">
        <v>11.61868934</v>
      </c>
      <c r="Z159">
        <v>25368</v>
      </c>
    </row>
    <row r="160" spans="1:27">
      <c r="Q160" s="5">
        <v>44476.708333333336</v>
      </c>
      <c r="R160" t="s">
        <v>12</v>
      </c>
      <c r="S160">
        <v>8</v>
      </c>
      <c r="T160" t="s">
        <v>51</v>
      </c>
      <c r="U160">
        <v>40</v>
      </c>
      <c r="V160" t="s">
        <v>66</v>
      </c>
      <c r="W160" t="s">
        <v>67</v>
      </c>
      <c r="X160">
        <v>44.222685589999998</v>
      </c>
      <c r="Y160">
        <v>12.04068608</v>
      </c>
      <c r="Z160">
        <v>39930</v>
      </c>
    </row>
    <row r="161" spans="17:27">
      <c r="Q161" s="5">
        <v>44476.708333333336</v>
      </c>
      <c r="R161" t="s">
        <v>12</v>
      </c>
      <c r="S161">
        <v>8</v>
      </c>
      <c r="T161" t="s">
        <v>51</v>
      </c>
      <c r="U161">
        <v>36</v>
      </c>
      <c r="V161" t="s">
        <v>58</v>
      </c>
      <c r="W161" t="s">
        <v>59</v>
      </c>
      <c r="X161">
        <v>44.646000090000001</v>
      </c>
      <c r="Y161">
        <v>10.92615487</v>
      </c>
      <c r="Z161">
        <v>70889</v>
      </c>
    </row>
    <row r="162" spans="17:27">
      <c r="Q162" s="5">
        <v>44476.708333333336</v>
      </c>
      <c r="R162" t="s">
        <v>12</v>
      </c>
      <c r="S162">
        <v>8</v>
      </c>
      <c r="T162" t="s">
        <v>51</v>
      </c>
      <c r="U162">
        <v>34</v>
      </c>
      <c r="V162" t="s">
        <v>54</v>
      </c>
      <c r="W162" t="s">
        <v>55</v>
      </c>
      <c r="X162">
        <v>44.801073940000002</v>
      </c>
      <c r="Y162">
        <v>10.32834985</v>
      </c>
      <c r="Z162">
        <v>31914</v>
      </c>
    </row>
    <row r="163" spans="17:27">
      <c r="Q163" s="5">
        <v>44476.708333333336</v>
      </c>
      <c r="R163" t="s">
        <v>12</v>
      </c>
      <c r="S163">
        <v>8</v>
      </c>
      <c r="T163" t="s">
        <v>51</v>
      </c>
      <c r="U163">
        <v>33</v>
      </c>
      <c r="V163" t="s">
        <v>52</v>
      </c>
      <c r="W163" t="s">
        <v>53</v>
      </c>
      <c r="X163">
        <v>45.051934619999997</v>
      </c>
      <c r="Y163">
        <v>9.6926325959999993</v>
      </c>
      <c r="Z163">
        <v>25520</v>
      </c>
    </row>
    <row r="164" spans="17:27">
      <c r="Q164" s="5">
        <v>44476.708333333336</v>
      </c>
      <c r="R164" t="s">
        <v>12</v>
      </c>
      <c r="S164">
        <v>8</v>
      </c>
      <c r="T164" t="s">
        <v>51</v>
      </c>
      <c r="U164">
        <v>39</v>
      </c>
      <c r="V164" t="s">
        <v>64</v>
      </c>
      <c r="W164" t="s">
        <v>65</v>
      </c>
      <c r="X164">
        <v>44.417224930000003</v>
      </c>
      <c r="Y164">
        <v>12.19913936</v>
      </c>
      <c r="Z164">
        <v>33617</v>
      </c>
    </row>
    <row r="165" spans="17:27">
      <c r="Q165" s="5">
        <v>44476.708333333336</v>
      </c>
      <c r="R165" t="s">
        <v>12</v>
      </c>
      <c r="S165">
        <v>8</v>
      </c>
      <c r="T165" t="s">
        <v>51</v>
      </c>
      <c r="U165">
        <v>35</v>
      </c>
      <c r="V165" t="s">
        <v>56</v>
      </c>
      <c r="W165" t="s">
        <v>57</v>
      </c>
      <c r="X165">
        <v>44.697352889999998</v>
      </c>
      <c r="Y165">
        <v>10.63007973</v>
      </c>
      <c r="Z165">
        <v>51441</v>
      </c>
    </row>
    <row r="166" spans="17:27">
      <c r="Q166" s="5">
        <v>44476.708333333336</v>
      </c>
      <c r="R166" t="s">
        <v>12</v>
      </c>
      <c r="S166">
        <v>8</v>
      </c>
      <c r="T166" t="s">
        <v>51</v>
      </c>
      <c r="U166">
        <v>99</v>
      </c>
      <c r="V166" t="s">
        <v>68</v>
      </c>
      <c r="W166" t="s">
        <v>69</v>
      </c>
      <c r="X166">
        <v>44.060900869999998</v>
      </c>
      <c r="Y166">
        <v>12.5656295</v>
      </c>
      <c r="Z166">
        <v>40345</v>
      </c>
    </row>
    <row r="167" spans="17:27">
      <c r="Q167" s="5">
        <v>44476.708333333336</v>
      </c>
      <c r="R167" t="s">
        <v>12</v>
      </c>
      <c r="S167">
        <v>8</v>
      </c>
      <c r="T167" t="s">
        <v>51</v>
      </c>
      <c r="U167">
        <v>984</v>
      </c>
      <c r="V167" t="s">
        <v>264</v>
      </c>
      <c r="X167">
        <v>0</v>
      </c>
      <c r="Y167">
        <v>0</v>
      </c>
      <c r="Z167">
        <v>0</v>
      </c>
      <c r="AA167">
        <v>4201</v>
      </c>
    </row>
    <row r="168" spans="17:27">
      <c r="Q168" s="5">
        <v>44476.708333333336</v>
      </c>
      <c r="R168" t="s">
        <v>12</v>
      </c>
      <c r="S168">
        <v>6</v>
      </c>
      <c r="T168" t="s">
        <v>70</v>
      </c>
      <c r="U168">
        <v>31</v>
      </c>
      <c r="V168" t="s">
        <v>73</v>
      </c>
      <c r="W168" t="s">
        <v>74</v>
      </c>
      <c r="X168">
        <v>45.941498170000003</v>
      </c>
      <c r="Y168">
        <v>13.62212502</v>
      </c>
      <c r="Z168">
        <v>13697</v>
      </c>
    </row>
    <row r="169" spans="17:27">
      <c r="Q169" s="5">
        <v>44476.708333333336</v>
      </c>
      <c r="R169" t="s">
        <v>12</v>
      </c>
      <c r="S169">
        <v>6</v>
      </c>
      <c r="T169" t="s">
        <v>70</v>
      </c>
      <c r="U169">
        <v>93</v>
      </c>
      <c r="V169" t="s">
        <v>77</v>
      </c>
      <c r="W169" t="s">
        <v>78</v>
      </c>
      <c r="X169">
        <v>45.954435459999999</v>
      </c>
      <c r="Y169">
        <v>12.66002909</v>
      </c>
      <c r="Z169">
        <v>22945</v>
      </c>
    </row>
    <row r="170" spans="17:27">
      <c r="Q170" s="5">
        <v>44476.708333333336</v>
      </c>
      <c r="R170" t="s">
        <v>12</v>
      </c>
      <c r="S170">
        <v>6</v>
      </c>
      <c r="T170" t="s">
        <v>70</v>
      </c>
      <c r="U170">
        <v>32</v>
      </c>
      <c r="V170" t="s">
        <v>75</v>
      </c>
      <c r="W170" t="s">
        <v>76</v>
      </c>
      <c r="X170">
        <v>45.649435400000002</v>
      </c>
      <c r="Y170">
        <v>13.76813649</v>
      </c>
      <c r="Z170">
        <v>23356</v>
      </c>
    </row>
    <row r="171" spans="17:27">
      <c r="Q171" s="5">
        <v>44476.708333333336</v>
      </c>
      <c r="R171" t="s">
        <v>12</v>
      </c>
      <c r="S171">
        <v>6</v>
      </c>
      <c r="T171" t="s">
        <v>70</v>
      </c>
      <c r="U171">
        <v>30</v>
      </c>
      <c r="V171" t="s">
        <v>71</v>
      </c>
      <c r="W171" t="s">
        <v>72</v>
      </c>
      <c r="X171">
        <v>46.062555160000002</v>
      </c>
      <c r="Y171">
        <v>13.2348383</v>
      </c>
      <c r="Z171">
        <v>52627</v>
      </c>
    </row>
    <row r="172" spans="17:27">
      <c r="Q172" s="5">
        <v>44476.708333333336</v>
      </c>
      <c r="R172" t="s">
        <v>12</v>
      </c>
      <c r="S172">
        <v>6</v>
      </c>
      <c r="T172" t="s">
        <v>70</v>
      </c>
      <c r="U172">
        <v>985</v>
      </c>
      <c r="V172" t="s">
        <v>264</v>
      </c>
      <c r="X172">
        <v>0</v>
      </c>
      <c r="Y172">
        <v>0</v>
      </c>
      <c r="Z172">
        <v>0</v>
      </c>
      <c r="AA172">
        <v>1593</v>
      </c>
    </row>
    <row r="173" spans="17:27">
      <c r="Q173" s="5">
        <v>44476.708333333336</v>
      </c>
      <c r="R173" t="s">
        <v>12</v>
      </c>
      <c r="S173">
        <v>12</v>
      </c>
      <c r="T173" t="s">
        <v>79</v>
      </c>
      <c r="U173">
        <v>60</v>
      </c>
      <c r="V173" t="s">
        <v>88</v>
      </c>
      <c r="W173" t="s">
        <v>89</v>
      </c>
      <c r="X173">
        <v>41.639645690000002</v>
      </c>
      <c r="Y173">
        <v>13.35117161</v>
      </c>
      <c r="Z173">
        <v>33327</v>
      </c>
    </row>
    <row r="174" spans="17:27">
      <c r="Q174" s="5">
        <v>44476.708333333336</v>
      </c>
      <c r="R174" t="s">
        <v>12</v>
      </c>
      <c r="S174">
        <v>12</v>
      </c>
      <c r="T174" t="s">
        <v>79</v>
      </c>
      <c r="U174">
        <v>59</v>
      </c>
      <c r="V174" t="s">
        <v>86</v>
      </c>
      <c r="W174" t="s">
        <v>87</v>
      </c>
      <c r="X174">
        <v>41.467594650000002</v>
      </c>
      <c r="Y174">
        <v>12.90368482</v>
      </c>
      <c r="Z174">
        <v>37807</v>
      </c>
    </row>
    <row r="175" spans="17:27">
      <c r="Q175" s="5">
        <v>44476.708333333336</v>
      </c>
      <c r="R175" t="s">
        <v>12</v>
      </c>
      <c r="S175">
        <v>12</v>
      </c>
      <c r="T175" t="s">
        <v>79</v>
      </c>
      <c r="U175">
        <v>57</v>
      </c>
      <c r="V175" t="s">
        <v>82</v>
      </c>
      <c r="W175" t="s">
        <v>83</v>
      </c>
      <c r="X175">
        <v>42.404884439999996</v>
      </c>
      <c r="Y175">
        <v>12.862059390000001</v>
      </c>
      <c r="Z175">
        <v>11196</v>
      </c>
    </row>
    <row r="176" spans="17:27">
      <c r="Q176" s="5">
        <v>44476.708333333336</v>
      </c>
      <c r="R176" t="s">
        <v>12</v>
      </c>
      <c r="S176">
        <v>12</v>
      </c>
      <c r="T176" t="s">
        <v>79</v>
      </c>
      <c r="U176">
        <v>58</v>
      </c>
      <c r="V176" t="s">
        <v>84</v>
      </c>
      <c r="W176" t="s">
        <v>85</v>
      </c>
      <c r="X176">
        <v>41.89277044</v>
      </c>
      <c r="Y176">
        <v>12.483667219999999</v>
      </c>
      <c r="Z176">
        <v>280484</v>
      </c>
    </row>
    <row r="177" spans="17:27">
      <c r="Q177" s="5">
        <v>44476.708333333336</v>
      </c>
      <c r="R177" t="s">
        <v>12</v>
      </c>
      <c r="S177">
        <v>12</v>
      </c>
      <c r="T177" t="s">
        <v>79</v>
      </c>
      <c r="U177">
        <v>56</v>
      </c>
      <c r="V177" t="s">
        <v>80</v>
      </c>
      <c r="W177" t="s">
        <v>81</v>
      </c>
      <c r="X177">
        <v>42.417382799999999</v>
      </c>
      <c r="Y177">
        <v>12.10473416</v>
      </c>
      <c r="Z177">
        <v>17586</v>
      </c>
    </row>
    <row r="178" spans="17:27">
      <c r="Q178" s="5">
        <v>44476.708333333336</v>
      </c>
      <c r="R178" t="s">
        <v>12</v>
      </c>
      <c r="S178">
        <v>12</v>
      </c>
      <c r="T178" t="s">
        <v>79</v>
      </c>
      <c r="U178">
        <v>986</v>
      </c>
      <c r="V178" t="s">
        <v>264</v>
      </c>
      <c r="X178">
        <v>0</v>
      </c>
      <c r="Y178">
        <v>0</v>
      </c>
      <c r="Z178">
        <v>0</v>
      </c>
      <c r="AA178">
        <v>6045</v>
      </c>
    </row>
    <row r="179" spans="17:27">
      <c r="Q179" s="5">
        <v>44476.708333333336</v>
      </c>
      <c r="R179" t="s">
        <v>12</v>
      </c>
      <c r="S179">
        <v>7</v>
      </c>
      <c r="T179" t="s">
        <v>90</v>
      </c>
      <c r="U179">
        <v>10</v>
      </c>
      <c r="V179" t="s">
        <v>95</v>
      </c>
      <c r="W179" t="s">
        <v>96</v>
      </c>
      <c r="X179">
        <v>44.411493139999997</v>
      </c>
      <c r="Y179">
        <v>8.9326992000000001</v>
      </c>
      <c r="Z179">
        <v>57766</v>
      </c>
    </row>
    <row r="180" spans="17:27">
      <c r="Q180" s="5">
        <v>44476.708333333336</v>
      </c>
      <c r="R180" t="s">
        <v>12</v>
      </c>
      <c r="S180">
        <v>7</v>
      </c>
      <c r="T180" t="s">
        <v>90</v>
      </c>
      <c r="U180">
        <v>8</v>
      </c>
      <c r="V180" t="s">
        <v>91</v>
      </c>
      <c r="W180" t="s">
        <v>92</v>
      </c>
      <c r="X180">
        <v>43.885706480000003</v>
      </c>
      <c r="Y180">
        <v>8.0278502979999899</v>
      </c>
      <c r="Z180">
        <v>16365</v>
      </c>
    </row>
    <row r="181" spans="17:27">
      <c r="Q181" s="5">
        <v>44476.708333333336</v>
      </c>
      <c r="R181" t="s">
        <v>12</v>
      </c>
      <c r="S181">
        <v>7</v>
      </c>
      <c r="T181" t="s">
        <v>90</v>
      </c>
      <c r="U181">
        <v>11</v>
      </c>
      <c r="V181" t="s">
        <v>97</v>
      </c>
      <c r="W181" t="s">
        <v>98</v>
      </c>
      <c r="X181">
        <v>44.107049910000001</v>
      </c>
      <c r="Y181">
        <v>9.8281896999999994</v>
      </c>
      <c r="Z181">
        <v>15373</v>
      </c>
    </row>
    <row r="182" spans="17:27">
      <c r="Q182" s="5">
        <v>44476.708333333336</v>
      </c>
      <c r="R182" t="s">
        <v>12</v>
      </c>
      <c r="S182">
        <v>7</v>
      </c>
      <c r="T182" t="s">
        <v>90</v>
      </c>
      <c r="U182">
        <v>9</v>
      </c>
      <c r="V182" t="s">
        <v>93</v>
      </c>
      <c r="W182" t="s">
        <v>94</v>
      </c>
      <c r="X182">
        <v>44.307504610000002</v>
      </c>
      <c r="Y182">
        <v>8.4811086539999998</v>
      </c>
      <c r="Z182">
        <v>17738</v>
      </c>
    </row>
    <row r="183" spans="17:27">
      <c r="Q183" s="5">
        <v>44476.708333333336</v>
      </c>
      <c r="R183" t="s">
        <v>12</v>
      </c>
      <c r="S183">
        <v>7</v>
      </c>
      <c r="T183" t="s">
        <v>90</v>
      </c>
      <c r="U183">
        <v>987</v>
      </c>
      <c r="V183" t="s">
        <v>264</v>
      </c>
      <c r="X183">
        <v>0</v>
      </c>
      <c r="Y183">
        <v>0</v>
      </c>
      <c r="Z183">
        <v>0</v>
      </c>
      <c r="AA183">
        <v>1694</v>
      </c>
    </row>
    <row r="184" spans="17:27">
      <c r="Q184" s="5">
        <v>44476.708333333336</v>
      </c>
      <c r="R184" t="s">
        <v>12</v>
      </c>
      <c r="S184">
        <v>3</v>
      </c>
      <c r="T184" t="s">
        <v>99</v>
      </c>
      <c r="U184">
        <v>16</v>
      </c>
      <c r="V184" t="s">
        <v>108</v>
      </c>
      <c r="W184" t="s">
        <v>109</v>
      </c>
      <c r="X184">
        <v>45.694413679999997</v>
      </c>
      <c r="Y184">
        <v>9.6684245279999992</v>
      </c>
      <c r="Z184">
        <v>56192</v>
      </c>
    </row>
    <row r="185" spans="17:27">
      <c r="Q185" s="5">
        <v>44476.708333333336</v>
      </c>
      <c r="R185" t="s">
        <v>12</v>
      </c>
      <c r="S185">
        <v>3</v>
      </c>
      <c r="T185" t="s">
        <v>99</v>
      </c>
      <c r="U185">
        <v>17</v>
      </c>
      <c r="V185" t="s">
        <v>110</v>
      </c>
      <c r="W185" t="s">
        <v>111</v>
      </c>
      <c r="X185">
        <v>45.539930519999999</v>
      </c>
      <c r="Y185">
        <v>10.21910323</v>
      </c>
      <c r="Z185">
        <v>111526</v>
      </c>
    </row>
    <row r="186" spans="17:27">
      <c r="Q186" s="5">
        <v>44476.708333333336</v>
      </c>
      <c r="R186" t="s">
        <v>12</v>
      </c>
      <c r="S186">
        <v>3</v>
      </c>
      <c r="T186" t="s">
        <v>99</v>
      </c>
      <c r="U186">
        <v>13</v>
      </c>
      <c r="V186" t="s">
        <v>102</v>
      </c>
      <c r="W186" t="s">
        <v>103</v>
      </c>
      <c r="X186">
        <v>45.809991199999999</v>
      </c>
      <c r="Y186">
        <v>9.0851595459999999</v>
      </c>
      <c r="Z186">
        <v>62330</v>
      </c>
    </row>
    <row r="187" spans="17:27">
      <c r="Q187" s="5">
        <v>44476.708333333336</v>
      </c>
      <c r="R187" t="s">
        <v>12</v>
      </c>
      <c r="S187">
        <v>3</v>
      </c>
      <c r="T187" t="s">
        <v>99</v>
      </c>
      <c r="U187">
        <v>19</v>
      </c>
      <c r="V187" t="s">
        <v>114</v>
      </c>
      <c r="W187" t="s">
        <v>115</v>
      </c>
      <c r="X187">
        <v>45.13336675</v>
      </c>
      <c r="Y187">
        <v>10.02420865</v>
      </c>
      <c r="Z187">
        <v>28581</v>
      </c>
    </row>
    <row r="188" spans="17:27">
      <c r="Q188" s="5">
        <v>44476.708333333336</v>
      </c>
      <c r="R188" t="s">
        <v>12</v>
      </c>
      <c r="S188">
        <v>3</v>
      </c>
      <c r="T188" t="s">
        <v>99</v>
      </c>
      <c r="U188">
        <v>97</v>
      </c>
      <c r="V188" t="s">
        <v>118</v>
      </c>
      <c r="W188" t="s">
        <v>119</v>
      </c>
      <c r="X188">
        <v>45.85575781</v>
      </c>
      <c r="Y188">
        <v>9.3933922459999994</v>
      </c>
      <c r="Z188">
        <v>25809</v>
      </c>
    </row>
    <row r="189" spans="17:27">
      <c r="Q189" s="5">
        <v>44476.708333333336</v>
      </c>
      <c r="R189" t="s">
        <v>12</v>
      </c>
      <c r="S189">
        <v>3</v>
      </c>
      <c r="T189" t="s">
        <v>99</v>
      </c>
      <c r="U189">
        <v>98</v>
      </c>
      <c r="V189" t="s">
        <v>120</v>
      </c>
      <c r="W189" t="s">
        <v>121</v>
      </c>
      <c r="X189">
        <v>45.314406929999997</v>
      </c>
      <c r="Y189">
        <v>9.5037207689999992</v>
      </c>
      <c r="Z189">
        <v>17874</v>
      </c>
    </row>
    <row r="190" spans="17:27">
      <c r="Q190" s="5">
        <v>44476.708333333336</v>
      </c>
      <c r="R190" t="s">
        <v>12</v>
      </c>
      <c r="S190">
        <v>3</v>
      </c>
      <c r="T190" t="s">
        <v>99</v>
      </c>
      <c r="U190">
        <v>20</v>
      </c>
      <c r="V190" t="s">
        <v>116</v>
      </c>
      <c r="W190" t="s">
        <v>117</v>
      </c>
      <c r="X190">
        <v>45.15726772</v>
      </c>
      <c r="Y190">
        <v>10.792773629999999</v>
      </c>
      <c r="Z190">
        <v>37922</v>
      </c>
    </row>
    <row r="191" spans="17:27">
      <c r="Q191" s="5">
        <v>44476.708333333336</v>
      </c>
      <c r="R191" t="s">
        <v>12</v>
      </c>
      <c r="S191">
        <v>3</v>
      </c>
      <c r="T191" t="s">
        <v>99</v>
      </c>
      <c r="U191">
        <v>15</v>
      </c>
      <c r="V191" t="s">
        <v>106</v>
      </c>
      <c r="W191" t="s">
        <v>107</v>
      </c>
      <c r="X191">
        <v>45.46679409</v>
      </c>
      <c r="Y191">
        <v>9.1903474040000006</v>
      </c>
      <c r="Z191">
        <v>285455</v>
      </c>
    </row>
    <row r="192" spans="17:27">
      <c r="Q192" s="5">
        <v>44476.708333333336</v>
      </c>
      <c r="R192" t="s">
        <v>12</v>
      </c>
      <c r="S192">
        <v>3</v>
      </c>
      <c r="T192" t="s">
        <v>99</v>
      </c>
      <c r="U192">
        <v>108</v>
      </c>
      <c r="V192" t="s">
        <v>122</v>
      </c>
      <c r="W192" t="s">
        <v>123</v>
      </c>
      <c r="X192">
        <v>45.584390429999999</v>
      </c>
      <c r="Y192">
        <v>9.2735824719999993</v>
      </c>
      <c r="Z192">
        <v>82627</v>
      </c>
    </row>
    <row r="193" spans="17:27">
      <c r="Q193" s="5">
        <v>44476.708333333336</v>
      </c>
      <c r="R193" t="s">
        <v>12</v>
      </c>
      <c r="S193">
        <v>3</v>
      </c>
      <c r="T193" t="s">
        <v>99</v>
      </c>
      <c r="U193">
        <v>18</v>
      </c>
      <c r="V193" t="s">
        <v>112</v>
      </c>
      <c r="W193" t="s">
        <v>113</v>
      </c>
      <c r="X193">
        <v>45.185092640000001</v>
      </c>
      <c r="Y193">
        <v>9.1601571909999997</v>
      </c>
      <c r="Z193">
        <v>46002</v>
      </c>
    </row>
    <row r="194" spans="17:27">
      <c r="Q194" s="5">
        <v>44476.708333333336</v>
      </c>
      <c r="R194" t="s">
        <v>12</v>
      </c>
      <c r="S194">
        <v>3</v>
      </c>
      <c r="T194" t="s">
        <v>99</v>
      </c>
      <c r="U194">
        <v>14</v>
      </c>
      <c r="V194" t="s">
        <v>104</v>
      </c>
      <c r="W194" t="s">
        <v>105</v>
      </c>
      <c r="X194">
        <v>46.170992609999999</v>
      </c>
      <c r="Y194">
        <v>9.87147489</v>
      </c>
      <c r="Z194">
        <v>16020</v>
      </c>
    </row>
    <row r="195" spans="17:27">
      <c r="Q195" s="5">
        <v>44476.708333333336</v>
      </c>
      <c r="R195" t="s">
        <v>12</v>
      </c>
      <c r="S195">
        <v>3</v>
      </c>
      <c r="T195" t="s">
        <v>99</v>
      </c>
      <c r="U195">
        <v>12</v>
      </c>
      <c r="V195" t="s">
        <v>100</v>
      </c>
      <c r="W195" t="s">
        <v>101</v>
      </c>
      <c r="X195">
        <v>45.817016770000002</v>
      </c>
      <c r="Y195">
        <v>8.8228683439999998</v>
      </c>
      <c r="Z195">
        <v>91282</v>
      </c>
    </row>
    <row r="196" spans="17:27">
      <c r="Q196" s="5">
        <v>44476.708333333336</v>
      </c>
      <c r="R196" t="s">
        <v>12</v>
      </c>
      <c r="S196">
        <v>3</v>
      </c>
      <c r="T196" t="s">
        <v>99</v>
      </c>
      <c r="U196">
        <v>988</v>
      </c>
      <c r="V196" t="s">
        <v>264</v>
      </c>
      <c r="X196">
        <v>0</v>
      </c>
      <c r="Y196">
        <v>0</v>
      </c>
      <c r="Z196">
        <v>0</v>
      </c>
      <c r="AA196">
        <v>10488</v>
      </c>
    </row>
    <row r="197" spans="17:27">
      <c r="Q197" s="5">
        <v>44476.708333333336</v>
      </c>
      <c r="R197" t="s">
        <v>12</v>
      </c>
      <c r="S197">
        <v>11</v>
      </c>
      <c r="T197" t="s">
        <v>124</v>
      </c>
      <c r="U197">
        <v>42</v>
      </c>
      <c r="V197" t="s">
        <v>127</v>
      </c>
      <c r="W197" t="s">
        <v>128</v>
      </c>
      <c r="X197">
        <v>43.616759729999998</v>
      </c>
      <c r="Y197">
        <v>13.518875299999999</v>
      </c>
      <c r="Z197">
        <v>35331</v>
      </c>
    </row>
    <row r="198" spans="17:27">
      <c r="Q198" s="5">
        <v>44476.708333333336</v>
      </c>
      <c r="R198" t="s">
        <v>12</v>
      </c>
      <c r="S198">
        <v>11</v>
      </c>
      <c r="T198" t="s">
        <v>124</v>
      </c>
      <c r="U198">
        <v>44</v>
      </c>
      <c r="V198" t="s">
        <v>131</v>
      </c>
      <c r="W198" t="s">
        <v>132</v>
      </c>
      <c r="X198">
        <v>42.853223040000003</v>
      </c>
      <c r="Y198">
        <v>13.57691127</v>
      </c>
      <c r="Z198">
        <v>12594</v>
      </c>
    </row>
    <row r="199" spans="17:27">
      <c r="Q199" s="5">
        <v>44476.708333333336</v>
      </c>
      <c r="R199" t="s">
        <v>12</v>
      </c>
      <c r="S199">
        <v>11</v>
      </c>
      <c r="T199" t="s">
        <v>124</v>
      </c>
      <c r="U199">
        <v>109</v>
      </c>
      <c r="V199" t="s">
        <v>133</v>
      </c>
      <c r="W199" t="s">
        <v>134</v>
      </c>
      <c r="X199">
        <v>43.160585339999997</v>
      </c>
      <c r="Y199">
        <v>13.71839535</v>
      </c>
      <c r="Z199">
        <v>11670</v>
      </c>
    </row>
    <row r="200" spans="17:27">
      <c r="Q200" s="5">
        <v>44476.708333333336</v>
      </c>
      <c r="R200" t="s">
        <v>12</v>
      </c>
      <c r="S200">
        <v>11</v>
      </c>
      <c r="T200" t="s">
        <v>124</v>
      </c>
      <c r="U200">
        <v>43</v>
      </c>
      <c r="V200" t="s">
        <v>129</v>
      </c>
      <c r="W200" t="s">
        <v>130</v>
      </c>
      <c r="X200">
        <v>43.300239259999998</v>
      </c>
      <c r="Y200">
        <v>13.45307182</v>
      </c>
      <c r="Z200">
        <v>24135</v>
      </c>
    </row>
    <row r="201" spans="17:27">
      <c r="Q201" s="5">
        <v>44476.708333333336</v>
      </c>
      <c r="R201" t="s">
        <v>12</v>
      </c>
      <c r="S201">
        <v>11</v>
      </c>
      <c r="T201" t="s">
        <v>124</v>
      </c>
      <c r="U201">
        <v>41</v>
      </c>
      <c r="V201" t="s">
        <v>125</v>
      </c>
      <c r="W201" t="s">
        <v>126</v>
      </c>
      <c r="X201">
        <v>43.910140210000002</v>
      </c>
      <c r="Y201">
        <v>12.91345989</v>
      </c>
      <c r="Z201">
        <v>25572</v>
      </c>
    </row>
    <row r="202" spans="17:27">
      <c r="Q202" s="5">
        <v>44476.708333333336</v>
      </c>
      <c r="R202" t="s">
        <v>12</v>
      </c>
      <c r="S202">
        <v>11</v>
      </c>
      <c r="T202" t="s">
        <v>124</v>
      </c>
      <c r="U202">
        <v>989</v>
      </c>
      <c r="V202" t="s">
        <v>264</v>
      </c>
      <c r="X202">
        <v>0</v>
      </c>
      <c r="Y202">
        <v>0</v>
      </c>
      <c r="Z202">
        <v>0</v>
      </c>
      <c r="AA202">
        <v>5019</v>
      </c>
    </row>
    <row r="203" spans="17:27">
      <c r="Q203" s="5">
        <v>44476.708333333336</v>
      </c>
      <c r="R203" t="s">
        <v>12</v>
      </c>
      <c r="S203">
        <v>14</v>
      </c>
      <c r="T203" t="s">
        <v>135</v>
      </c>
      <c r="U203">
        <v>70</v>
      </c>
      <c r="V203" t="s">
        <v>136</v>
      </c>
      <c r="W203" t="s">
        <v>137</v>
      </c>
      <c r="X203">
        <v>41.557747540000001</v>
      </c>
      <c r="Y203">
        <v>14.65916051</v>
      </c>
      <c r="Z203">
        <v>10434</v>
      </c>
    </row>
    <row r="204" spans="17:27">
      <c r="Q204" s="5">
        <v>44476.708333333336</v>
      </c>
      <c r="R204" t="s">
        <v>12</v>
      </c>
      <c r="S204">
        <v>14</v>
      </c>
      <c r="T204" t="s">
        <v>135</v>
      </c>
      <c r="U204">
        <v>94</v>
      </c>
      <c r="V204" t="s">
        <v>138</v>
      </c>
      <c r="W204" t="s">
        <v>139</v>
      </c>
      <c r="X204">
        <v>41.588008260000002</v>
      </c>
      <c r="Y204">
        <v>14.225754070000001</v>
      </c>
      <c r="Z204">
        <v>4020</v>
      </c>
    </row>
    <row r="205" spans="17:27">
      <c r="Q205" s="5">
        <v>44476.708333333336</v>
      </c>
      <c r="R205" t="s">
        <v>12</v>
      </c>
      <c r="S205">
        <v>14</v>
      </c>
      <c r="T205" t="s">
        <v>135</v>
      </c>
      <c r="U205">
        <v>990</v>
      </c>
      <c r="V205" t="s">
        <v>264</v>
      </c>
      <c r="X205">
        <v>0</v>
      </c>
      <c r="Y205">
        <v>0</v>
      </c>
      <c r="Z205">
        <v>0</v>
      </c>
      <c r="AA205">
        <v>76</v>
      </c>
    </row>
    <row r="206" spans="17:27">
      <c r="Q206" s="5">
        <v>44476.708333333336</v>
      </c>
      <c r="R206" t="s">
        <v>12</v>
      </c>
      <c r="S206">
        <v>1</v>
      </c>
      <c r="T206" t="s">
        <v>146</v>
      </c>
      <c r="U206">
        <v>6</v>
      </c>
      <c r="V206" t="s">
        <v>157</v>
      </c>
      <c r="W206" t="s">
        <v>158</v>
      </c>
      <c r="X206">
        <v>44.91297351</v>
      </c>
      <c r="Y206">
        <v>8.6154011550000007</v>
      </c>
      <c r="Z206">
        <v>31063</v>
      </c>
    </row>
    <row r="207" spans="17:27">
      <c r="Q207" s="5">
        <v>44476.708333333336</v>
      </c>
      <c r="R207" t="s">
        <v>12</v>
      </c>
      <c r="S207">
        <v>1</v>
      </c>
      <c r="T207" t="s">
        <v>146</v>
      </c>
      <c r="U207">
        <v>5</v>
      </c>
      <c r="V207" t="s">
        <v>155</v>
      </c>
      <c r="W207" t="s">
        <v>156</v>
      </c>
      <c r="X207">
        <v>44.899129209999998</v>
      </c>
      <c r="Y207">
        <v>8.204142547</v>
      </c>
      <c r="Z207">
        <v>18049</v>
      </c>
    </row>
    <row r="208" spans="17:27">
      <c r="Q208" s="5">
        <v>44476.708333333336</v>
      </c>
      <c r="R208" t="s">
        <v>12</v>
      </c>
      <c r="S208">
        <v>1</v>
      </c>
      <c r="T208" t="s">
        <v>146</v>
      </c>
      <c r="U208">
        <v>96</v>
      </c>
      <c r="V208" t="s">
        <v>159</v>
      </c>
      <c r="W208" t="s">
        <v>160</v>
      </c>
      <c r="X208">
        <v>45.566511200000001</v>
      </c>
      <c r="Y208">
        <v>8.0540821670000007</v>
      </c>
      <c r="Z208">
        <v>11902</v>
      </c>
    </row>
    <row r="209" spans="17:27">
      <c r="Q209" s="5">
        <v>44476.708333333336</v>
      </c>
      <c r="R209" t="s">
        <v>12</v>
      </c>
      <c r="S209">
        <v>1</v>
      </c>
      <c r="T209" t="s">
        <v>146</v>
      </c>
      <c r="U209">
        <v>4</v>
      </c>
      <c r="V209" t="s">
        <v>153</v>
      </c>
      <c r="W209" t="s">
        <v>154</v>
      </c>
      <c r="X209">
        <v>44.393296249999999</v>
      </c>
      <c r="Y209">
        <v>7.551171632</v>
      </c>
      <c r="Z209">
        <v>54763</v>
      </c>
    </row>
    <row r="210" spans="17:27">
      <c r="Q210" s="5">
        <v>44476.708333333336</v>
      </c>
      <c r="R210" t="s">
        <v>12</v>
      </c>
      <c r="S210">
        <v>1</v>
      </c>
      <c r="T210" t="s">
        <v>146</v>
      </c>
      <c r="U210">
        <v>3</v>
      </c>
      <c r="V210" t="s">
        <v>151</v>
      </c>
      <c r="W210" t="s">
        <v>152</v>
      </c>
      <c r="X210">
        <v>45.445885060000002</v>
      </c>
      <c r="Y210">
        <v>8.6219158839999999</v>
      </c>
      <c r="Z210">
        <v>29585</v>
      </c>
    </row>
    <row r="211" spans="17:27">
      <c r="Q211" s="5">
        <v>44476.708333333336</v>
      </c>
      <c r="R211" t="s">
        <v>12</v>
      </c>
      <c r="S211">
        <v>1</v>
      </c>
      <c r="T211" t="s">
        <v>146</v>
      </c>
      <c r="U211">
        <v>1</v>
      </c>
      <c r="V211" t="s">
        <v>147</v>
      </c>
      <c r="W211" t="s">
        <v>148</v>
      </c>
      <c r="X211">
        <v>45.073274499999997</v>
      </c>
      <c r="Y211">
        <v>7.6806874829999998</v>
      </c>
      <c r="Z211">
        <v>202842</v>
      </c>
    </row>
    <row r="212" spans="17:27">
      <c r="Q212" s="5">
        <v>44476.708333333336</v>
      </c>
      <c r="R212" t="s">
        <v>12</v>
      </c>
      <c r="S212">
        <v>1</v>
      </c>
      <c r="T212" t="s">
        <v>146</v>
      </c>
      <c r="U212">
        <v>103</v>
      </c>
      <c r="V212" t="s">
        <v>161</v>
      </c>
      <c r="W212" t="s">
        <v>162</v>
      </c>
      <c r="X212">
        <v>45.921445499999997</v>
      </c>
      <c r="Y212">
        <v>8.5510787529999899</v>
      </c>
      <c r="Z212">
        <v>13533</v>
      </c>
    </row>
    <row r="213" spans="17:27">
      <c r="Q213" s="5">
        <v>44476.708333333336</v>
      </c>
      <c r="R213" t="s">
        <v>12</v>
      </c>
      <c r="S213">
        <v>1</v>
      </c>
      <c r="T213" t="s">
        <v>146</v>
      </c>
      <c r="U213">
        <v>2</v>
      </c>
      <c r="V213" t="s">
        <v>149</v>
      </c>
      <c r="W213" t="s">
        <v>150</v>
      </c>
      <c r="X213">
        <v>45.323981349999997</v>
      </c>
      <c r="Y213">
        <v>8.4232343119999999</v>
      </c>
      <c r="Z213">
        <v>14156</v>
      </c>
    </row>
    <row r="214" spans="17:27">
      <c r="Q214" s="5">
        <v>44476.708333333336</v>
      </c>
      <c r="R214" t="s">
        <v>12</v>
      </c>
      <c r="S214">
        <v>1</v>
      </c>
      <c r="T214" t="s">
        <v>146</v>
      </c>
      <c r="U214">
        <v>991</v>
      </c>
      <c r="V214" t="s">
        <v>264</v>
      </c>
      <c r="X214">
        <v>0</v>
      </c>
      <c r="Y214">
        <v>0</v>
      </c>
      <c r="Z214">
        <v>0</v>
      </c>
      <c r="AA214">
        <v>1568</v>
      </c>
    </row>
    <row r="215" spans="17:27">
      <c r="Q215" s="5">
        <v>44476.708333333336</v>
      </c>
      <c r="R215" t="s">
        <v>12</v>
      </c>
      <c r="S215">
        <v>16</v>
      </c>
      <c r="T215" t="s">
        <v>163</v>
      </c>
      <c r="U215">
        <v>72</v>
      </c>
      <c r="V215" t="s">
        <v>166</v>
      </c>
      <c r="W215" t="s">
        <v>167</v>
      </c>
      <c r="X215">
        <v>41.125595760000003</v>
      </c>
      <c r="Y215">
        <v>16.86736689</v>
      </c>
      <c r="Z215">
        <v>98857</v>
      </c>
    </row>
    <row r="216" spans="17:27">
      <c r="Q216" s="5">
        <v>44476.708333333336</v>
      </c>
      <c r="R216" t="s">
        <v>12</v>
      </c>
      <c r="S216">
        <v>16</v>
      </c>
      <c r="T216" t="s">
        <v>163</v>
      </c>
      <c r="U216">
        <v>110</v>
      </c>
      <c r="V216" t="s">
        <v>174</v>
      </c>
      <c r="W216" t="s">
        <v>175</v>
      </c>
      <c r="X216">
        <v>41.227050390000002</v>
      </c>
      <c r="Y216">
        <v>16.29520432</v>
      </c>
      <c r="Z216">
        <v>28204</v>
      </c>
    </row>
    <row r="217" spans="17:27">
      <c r="Q217" s="5">
        <v>44476.708333333336</v>
      </c>
      <c r="R217" t="s">
        <v>12</v>
      </c>
      <c r="S217">
        <v>16</v>
      </c>
      <c r="T217" t="s">
        <v>163</v>
      </c>
      <c r="U217">
        <v>74</v>
      </c>
      <c r="V217" t="s">
        <v>170</v>
      </c>
      <c r="W217" t="s">
        <v>171</v>
      </c>
      <c r="X217">
        <v>40.638485449999997</v>
      </c>
      <c r="Y217">
        <v>17.946015750000001</v>
      </c>
      <c r="Z217">
        <v>21370</v>
      </c>
    </row>
    <row r="218" spans="17:27">
      <c r="Q218" s="5">
        <v>44476.708333333336</v>
      </c>
      <c r="R218" t="s">
        <v>12</v>
      </c>
      <c r="S218">
        <v>16</v>
      </c>
      <c r="T218" t="s">
        <v>163</v>
      </c>
      <c r="U218">
        <v>71</v>
      </c>
      <c r="V218" t="s">
        <v>164</v>
      </c>
      <c r="W218" t="s">
        <v>165</v>
      </c>
      <c r="X218">
        <v>41.462268649999999</v>
      </c>
      <c r="Y218">
        <v>15.543050940000001</v>
      </c>
      <c r="Z218">
        <v>47390</v>
      </c>
    </row>
    <row r="219" spans="17:27">
      <c r="Q219" s="5">
        <v>44476.708333333336</v>
      </c>
      <c r="R219" t="s">
        <v>12</v>
      </c>
      <c r="S219">
        <v>16</v>
      </c>
      <c r="T219" t="s">
        <v>163</v>
      </c>
      <c r="U219">
        <v>75</v>
      </c>
      <c r="V219" t="s">
        <v>172</v>
      </c>
      <c r="W219" t="s">
        <v>173</v>
      </c>
      <c r="X219">
        <v>40.353542849999997</v>
      </c>
      <c r="Y219">
        <v>18.171897300000001</v>
      </c>
      <c r="Z219">
        <v>31287</v>
      </c>
    </row>
    <row r="220" spans="17:27">
      <c r="Q220" s="5">
        <v>44476.708333333336</v>
      </c>
      <c r="R220" t="s">
        <v>12</v>
      </c>
      <c r="S220">
        <v>16</v>
      </c>
      <c r="T220" t="s">
        <v>163</v>
      </c>
      <c r="U220">
        <v>73</v>
      </c>
      <c r="V220" t="s">
        <v>168</v>
      </c>
      <c r="W220" t="s">
        <v>169</v>
      </c>
      <c r="X220">
        <v>40.47354739</v>
      </c>
      <c r="Y220">
        <v>17.23237181</v>
      </c>
      <c r="Z220">
        <v>40892</v>
      </c>
    </row>
    <row r="221" spans="17:27">
      <c r="Q221" s="5">
        <v>44476.708333333336</v>
      </c>
      <c r="R221" t="s">
        <v>12</v>
      </c>
      <c r="S221">
        <v>16</v>
      </c>
      <c r="T221" t="s">
        <v>163</v>
      </c>
      <c r="U221">
        <v>992</v>
      </c>
      <c r="V221" t="s">
        <v>264</v>
      </c>
      <c r="X221">
        <v>0</v>
      </c>
      <c r="Y221">
        <v>0</v>
      </c>
      <c r="Z221">
        <v>0</v>
      </c>
      <c r="AA221">
        <v>993</v>
      </c>
    </row>
    <row r="222" spans="17:27">
      <c r="Q222" s="5">
        <v>44476.708333333336</v>
      </c>
      <c r="R222" t="s">
        <v>12</v>
      </c>
      <c r="S222">
        <v>20</v>
      </c>
      <c r="T222" t="s">
        <v>176</v>
      </c>
      <c r="U222">
        <v>92</v>
      </c>
      <c r="V222" t="s">
        <v>181</v>
      </c>
      <c r="W222" t="s">
        <v>182</v>
      </c>
      <c r="X222">
        <v>39.215311919999998</v>
      </c>
      <c r="Y222">
        <v>9.1106163060000007</v>
      </c>
      <c r="Z222">
        <v>23892</v>
      </c>
    </row>
    <row r="223" spans="17:27">
      <c r="Q223" s="5">
        <v>44476.708333333336</v>
      </c>
      <c r="R223" t="s">
        <v>12</v>
      </c>
      <c r="S223">
        <v>20</v>
      </c>
      <c r="T223" t="s">
        <v>176</v>
      </c>
      <c r="U223">
        <v>91</v>
      </c>
      <c r="V223" t="s">
        <v>179</v>
      </c>
      <c r="W223" t="s">
        <v>180</v>
      </c>
      <c r="X223">
        <v>40.323188340000002</v>
      </c>
      <c r="Y223">
        <v>9.3302963929999994</v>
      </c>
      <c r="Z223">
        <v>12072</v>
      </c>
    </row>
    <row r="224" spans="17:27">
      <c r="Q224" s="5">
        <v>44476.708333333336</v>
      </c>
      <c r="R224" t="s">
        <v>12</v>
      </c>
      <c r="S224">
        <v>20</v>
      </c>
      <c r="T224" t="s">
        <v>176</v>
      </c>
      <c r="U224">
        <v>95</v>
      </c>
      <c r="V224" t="s">
        <v>183</v>
      </c>
      <c r="W224" t="s">
        <v>184</v>
      </c>
      <c r="X224">
        <v>39.903810749999998</v>
      </c>
      <c r="Y224">
        <v>8.5911831509999992</v>
      </c>
      <c r="Z224">
        <v>6271</v>
      </c>
    </row>
    <row r="225" spans="17:27">
      <c r="Q225" s="5">
        <v>44476.708333333336</v>
      </c>
      <c r="R225" t="s">
        <v>12</v>
      </c>
      <c r="S225">
        <v>20</v>
      </c>
      <c r="T225" t="s">
        <v>176</v>
      </c>
      <c r="U225">
        <v>90</v>
      </c>
      <c r="V225" t="s">
        <v>177</v>
      </c>
      <c r="W225" t="s">
        <v>178</v>
      </c>
      <c r="X225">
        <v>40.726676570000002</v>
      </c>
      <c r="Y225">
        <v>8.5596671309999994</v>
      </c>
      <c r="Z225">
        <v>20520</v>
      </c>
    </row>
    <row r="226" spans="17:27">
      <c r="Q226" s="5">
        <v>44476.708333333336</v>
      </c>
      <c r="R226" t="s">
        <v>12</v>
      </c>
      <c r="S226">
        <v>20</v>
      </c>
      <c r="T226" t="s">
        <v>176</v>
      </c>
      <c r="U226">
        <v>111</v>
      </c>
      <c r="V226" t="s">
        <v>185</v>
      </c>
      <c r="W226" t="s">
        <v>186</v>
      </c>
      <c r="X226">
        <v>39.166414619999998</v>
      </c>
      <c r="Y226">
        <v>8.5262426760000007</v>
      </c>
      <c r="Z226">
        <v>12810</v>
      </c>
    </row>
    <row r="227" spans="17:27">
      <c r="Q227" s="5">
        <v>44476.708333333336</v>
      </c>
      <c r="R227" t="s">
        <v>12</v>
      </c>
      <c r="S227">
        <v>20</v>
      </c>
      <c r="T227" t="s">
        <v>176</v>
      </c>
      <c r="U227">
        <v>993</v>
      </c>
      <c r="V227" t="s">
        <v>264</v>
      </c>
      <c r="X227">
        <v>0</v>
      </c>
      <c r="Y227">
        <v>0</v>
      </c>
      <c r="Z227">
        <v>0</v>
      </c>
      <c r="AA227">
        <v>14</v>
      </c>
    </row>
    <row r="228" spans="17:27">
      <c r="Q228" s="5">
        <v>44476.708333333336</v>
      </c>
      <c r="R228" t="s">
        <v>12</v>
      </c>
      <c r="S228">
        <v>19</v>
      </c>
      <c r="T228" t="s">
        <v>187</v>
      </c>
      <c r="U228">
        <v>84</v>
      </c>
      <c r="V228" t="s">
        <v>194</v>
      </c>
      <c r="W228" t="s">
        <v>195</v>
      </c>
      <c r="X228">
        <v>37.309710879999997</v>
      </c>
      <c r="Y228">
        <v>13.5845749</v>
      </c>
      <c r="Z228">
        <v>17279</v>
      </c>
    </row>
    <row r="229" spans="17:27">
      <c r="Q229" s="5">
        <v>44476.708333333336</v>
      </c>
      <c r="R229" t="s">
        <v>12</v>
      </c>
      <c r="S229">
        <v>19</v>
      </c>
      <c r="T229" t="s">
        <v>187</v>
      </c>
      <c r="U229">
        <v>85</v>
      </c>
      <c r="V229" t="s">
        <v>196</v>
      </c>
      <c r="W229" t="s">
        <v>197</v>
      </c>
      <c r="X229">
        <v>37.492131710000002</v>
      </c>
      <c r="Y229">
        <v>14.06184973</v>
      </c>
      <c r="Z229">
        <v>17776</v>
      </c>
    </row>
    <row r="230" spans="17:27">
      <c r="Q230" s="5">
        <v>44476.708333333336</v>
      </c>
      <c r="R230" t="s">
        <v>12</v>
      </c>
      <c r="S230">
        <v>19</v>
      </c>
      <c r="T230" t="s">
        <v>187</v>
      </c>
      <c r="U230">
        <v>87</v>
      </c>
      <c r="V230" t="s">
        <v>200</v>
      </c>
      <c r="W230" t="s">
        <v>201</v>
      </c>
      <c r="X230">
        <v>37.502878029999998</v>
      </c>
      <c r="Y230">
        <v>15.08704691</v>
      </c>
      <c r="Z230">
        <v>75274</v>
      </c>
    </row>
    <row r="231" spans="17:27">
      <c r="Q231" s="5">
        <v>44476.708333333336</v>
      </c>
      <c r="R231" t="s">
        <v>12</v>
      </c>
      <c r="S231">
        <v>19</v>
      </c>
      <c r="T231" t="s">
        <v>187</v>
      </c>
      <c r="U231">
        <v>86</v>
      </c>
      <c r="V231" t="s">
        <v>198</v>
      </c>
      <c r="W231" t="s">
        <v>199</v>
      </c>
      <c r="X231">
        <v>37.567057009999999</v>
      </c>
      <c r="Y231">
        <v>14.279093749999999</v>
      </c>
      <c r="Z231">
        <v>9259</v>
      </c>
    </row>
    <row r="232" spans="17:27">
      <c r="Q232" s="5">
        <v>44476.708333333336</v>
      </c>
      <c r="R232" t="s">
        <v>12</v>
      </c>
      <c r="S232">
        <v>19</v>
      </c>
      <c r="T232" t="s">
        <v>187</v>
      </c>
      <c r="U232">
        <v>83</v>
      </c>
      <c r="V232" t="s">
        <v>192</v>
      </c>
      <c r="W232" t="s">
        <v>193</v>
      </c>
      <c r="X232">
        <v>38.193958449999997</v>
      </c>
      <c r="Y232">
        <v>15.55572302</v>
      </c>
      <c r="Z232">
        <v>34196</v>
      </c>
    </row>
    <row r="233" spans="17:27">
      <c r="Q233" s="5">
        <v>44476.708333333336</v>
      </c>
      <c r="R233" t="s">
        <v>12</v>
      </c>
      <c r="S233">
        <v>19</v>
      </c>
      <c r="T233" t="s">
        <v>187</v>
      </c>
      <c r="U233">
        <v>82</v>
      </c>
      <c r="V233" t="s">
        <v>190</v>
      </c>
      <c r="W233" t="s">
        <v>191</v>
      </c>
      <c r="X233">
        <v>38.115697249999997</v>
      </c>
      <c r="Y233">
        <v>13.3623566999999</v>
      </c>
      <c r="Z233">
        <v>83837</v>
      </c>
    </row>
    <row r="234" spans="17:27">
      <c r="Q234" s="5">
        <v>44476.708333333336</v>
      </c>
      <c r="R234" t="s">
        <v>12</v>
      </c>
      <c r="S234">
        <v>19</v>
      </c>
      <c r="T234" t="s">
        <v>187</v>
      </c>
      <c r="U234">
        <v>88</v>
      </c>
      <c r="V234" t="s">
        <v>202</v>
      </c>
      <c r="W234" t="s">
        <v>203</v>
      </c>
      <c r="X234">
        <v>36.925091979999998</v>
      </c>
      <c r="Y234">
        <v>14.730698909999999</v>
      </c>
      <c r="Z234">
        <v>19747</v>
      </c>
    </row>
    <row r="235" spans="17:27">
      <c r="Q235" s="5">
        <v>44476.708333333336</v>
      </c>
      <c r="R235" t="s">
        <v>12</v>
      </c>
      <c r="S235">
        <v>19</v>
      </c>
      <c r="T235" t="s">
        <v>187</v>
      </c>
      <c r="U235">
        <v>89</v>
      </c>
      <c r="V235" t="s">
        <v>204</v>
      </c>
      <c r="W235" t="s">
        <v>205</v>
      </c>
      <c r="X235">
        <v>37.059916870000002</v>
      </c>
      <c r="Y235">
        <v>15.293331820000001</v>
      </c>
      <c r="Z235">
        <v>23539</v>
      </c>
    </row>
    <row r="236" spans="17:27">
      <c r="Q236" s="5">
        <v>44476.708333333336</v>
      </c>
      <c r="R236" t="s">
        <v>12</v>
      </c>
      <c r="S236">
        <v>19</v>
      </c>
      <c r="T236" t="s">
        <v>187</v>
      </c>
      <c r="U236">
        <v>81</v>
      </c>
      <c r="V236" t="s">
        <v>188</v>
      </c>
      <c r="W236" t="s">
        <v>189</v>
      </c>
      <c r="X236">
        <v>38.01850065</v>
      </c>
      <c r="Y236">
        <v>12.513656839999999</v>
      </c>
      <c r="Z236">
        <v>19749</v>
      </c>
    </row>
    <row r="237" spans="17:27">
      <c r="Q237" s="5">
        <v>44476.708333333336</v>
      </c>
      <c r="R237" t="s">
        <v>12</v>
      </c>
      <c r="S237">
        <v>19</v>
      </c>
      <c r="T237" t="s">
        <v>187</v>
      </c>
      <c r="U237">
        <v>994</v>
      </c>
      <c r="V237" t="s">
        <v>264</v>
      </c>
      <c r="X237">
        <v>0</v>
      </c>
      <c r="Y237">
        <v>0</v>
      </c>
      <c r="Z237">
        <v>0</v>
      </c>
      <c r="AA237">
        <v>0</v>
      </c>
    </row>
    <row r="238" spans="17:27">
      <c r="Q238" s="5">
        <v>44476.708333333336</v>
      </c>
      <c r="R238" t="s">
        <v>12</v>
      </c>
      <c r="S238">
        <v>9</v>
      </c>
      <c r="T238" t="s">
        <v>206</v>
      </c>
      <c r="U238">
        <v>51</v>
      </c>
      <c r="V238" t="s">
        <v>219</v>
      </c>
      <c r="W238" t="s">
        <v>220</v>
      </c>
      <c r="X238">
        <v>43.466427520000003</v>
      </c>
      <c r="Y238">
        <v>11.88228844</v>
      </c>
      <c r="Z238">
        <v>25735</v>
      </c>
    </row>
    <row r="239" spans="17:27">
      <c r="Q239" s="5">
        <v>44476.708333333336</v>
      </c>
      <c r="R239" t="s">
        <v>12</v>
      </c>
      <c r="S239">
        <v>9</v>
      </c>
      <c r="T239" t="s">
        <v>206</v>
      </c>
      <c r="U239">
        <v>48</v>
      </c>
      <c r="V239" t="s">
        <v>213</v>
      </c>
      <c r="W239" t="s">
        <v>214</v>
      </c>
      <c r="X239">
        <v>43.76923077</v>
      </c>
      <c r="Y239">
        <v>11.25588885</v>
      </c>
      <c r="Z239">
        <v>78765</v>
      </c>
    </row>
    <row r="240" spans="17:27">
      <c r="Q240" s="5">
        <v>44476.708333333336</v>
      </c>
      <c r="R240" t="s">
        <v>12</v>
      </c>
      <c r="S240">
        <v>9</v>
      </c>
      <c r="T240" t="s">
        <v>206</v>
      </c>
      <c r="U240">
        <v>53</v>
      </c>
      <c r="V240" t="s">
        <v>223</v>
      </c>
      <c r="W240" t="s">
        <v>224</v>
      </c>
      <c r="X240">
        <v>42.760267579999997</v>
      </c>
      <c r="Y240">
        <v>11.11356398</v>
      </c>
      <c r="Z240">
        <v>11104</v>
      </c>
    </row>
    <row r="241" spans="17:27">
      <c r="Q241" s="5">
        <v>44476.708333333336</v>
      </c>
      <c r="R241" t="s">
        <v>12</v>
      </c>
      <c r="S241">
        <v>9</v>
      </c>
      <c r="T241" t="s">
        <v>206</v>
      </c>
      <c r="U241">
        <v>49</v>
      </c>
      <c r="V241" t="s">
        <v>215</v>
      </c>
      <c r="W241" t="s">
        <v>216</v>
      </c>
      <c r="X241">
        <v>43.552348729999999</v>
      </c>
      <c r="Y241">
        <v>10.3086781</v>
      </c>
      <c r="Z241">
        <v>21069</v>
      </c>
    </row>
    <row r="242" spans="17:27">
      <c r="Q242" s="5">
        <v>44476.708333333336</v>
      </c>
      <c r="R242" t="s">
        <v>12</v>
      </c>
      <c r="S242">
        <v>9</v>
      </c>
      <c r="T242" t="s">
        <v>206</v>
      </c>
      <c r="U242">
        <v>46</v>
      </c>
      <c r="V242" t="s">
        <v>209</v>
      </c>
      <c r="W242" t="s">
        <v>210</v>
      </c>
      <c r="X242">
        <v>43.844322830000003</v>
      </c>
      <c r="Y242">
        <v>10.501513660000001</v>
      </c>
      <c r="Z242">
        <v>28914</v>
      </c>
    </row>
    <row r="243" spans="17:27">
      <c r="Q243" s="5">
        <v>44476.708333333336</v>
      </c>
      <c r="R243" t="s">
        <v>12</v>
      </c>
      <c r="S243">
        <v>9</v>
      </c>
      <c r="T243" t="s">
        <v>206</v>
      </c>
      <c r="U243">
        <v>45</v>
      </c>
      <c r="V243" t="s">
        <v>207</v>
      </c>
      <c r="W243" t="s">
        <v>208</v>
      </c>
      <c r="X243">
        <v>44.036744249999998</v>
      </c>
      <c r="Y243">
        <v>10.141738289999999</v>
      </c>
      <c r="Z243">
        <v>14834</v>
      </c>
    </row>
    <row r="244" spans="17:27">
      <c r="Q244" s="5">
        <v>44476.708333333336</v>
      </c>
      <c r="R244" t="s">
        <v>12</v>
      </c>
      <c r="S244">
        <v>9</v>
      </c>
      <c r="T244" t="s">
        <v>206</v>
      </c>
      <c r="U244">
        <v>50</v>
      </c>
      <c r="V244" t="s">
        <v>217</v>
      </c>
      <c r="W244" t="s">
        <v>218</v>
      </c>
      <c r="X244">
        <v>43.715532060000001</v>
      </c>
      <c r="Y244">
        <v>10.40127259</v>
      </c>
      <c r="Z244">
        <v>33287</v>
      </c>
    </row>
    <row r="245" spans="17:27">
      <c r="Q245" s="5">
        <v>44476.708333333336</v>
      </c>
      <c r="R245" t="s">
        <v>12</v>
      </c>
      <c r="S245">
        <v>9</v>
      </c>
      <c r="T245" t="s">
        <v>206</v>
      </c>
      <c r="U245">
        <v>47</v>
      </c>
      <c r="V245" t="s">
        <v>211</v>
      </c>
      <c r="W245" t="s">
        <v>212</v>
      </c>
      <c r="X245">
        <v>43.933464999999998</v>
      </c>
      <c r="Y245">
        <v>10.917341459999999</v>
      </c>
      <c r="Z245">
        <v>26845</v>
      </c>
    </row>
    <row r="246" spans="17:27">
      <c r="Q246" s="5">
        <v>44476.708333333336</v>
      </c>
      <c r="R246" t="s">
        <v>12</v>
      </c>
      <c r="S246">
        <v>9</v>
      </c>
      <c r="T246" t="s">
        <v>206</v>
      </c>
      <c r="U246">
        <v>100</v>
      </c>
      <c r="V246" t="s">
        <v>225</v>
      </c>
      <c r="W246" t="s">
        <v>226</v>
      </c>
      <c r="X246">
        <v>43.88062274</v>
      </c>
      <c r="Y246">
        <v>11.09703315</v>
      </c>
      <c r="Z246">
        <v>26316</v>
      </c>
    </row>
    <row r="247" spans="17:27">
      <c r="Q247" s="5">
        <v>44476.708333333336</v>
      </c>
      <c r="R247" t="s">
        <v>12</v>
      </c>
      <c r="S247">
        <v>9</v>
      </c>
      <c r="T247" t="s">
        <v>206</v>
      </c>
      <c r="U247">
        <v>52</v>
      </c>
      <c r="V247" t="s">
        <v>221</v>
      </c>
      <c r="W247" t="s">
        <v>222</v>
      </c>
      <c r="X247">
        <v>43.318163740000003</v>
      </c>
      <c r="Y247">
        <v>11.33190988</v>
      </c>
      <c r="Z247">
        <v>16322</v>
      </c>
    </row>
    <row r="248" spans="17:27">
      <c r="Q248" s="5">
        <v>44476.708333333336</v>
      </c>
      <c r="R248" t="s">
        <v>12</v>
      </c>
      <c r="S248">
        <v>9</v>
      </c>
      <c r="T248" t="s">
        <v>206</v>
      </c>
      <c r="U248">
        <v>995</v>
      </c>
      <c r="V248" t="s">
        <v>264</v>
      </c>
      <c r="X248">
        <v>0</v>
      </c>
      <c r="Y248">
        <v>0</v>
      </c>
      <c r="Z248">
        <v>0</v>
      </c>
      <c r="AA248">
        <v>555</v>
      </c>
    </row>
    <row r="249" spans="17:27">
      <c r="Q249" s="5">
        <v>44476.708333333336</v>
      </c>
      <c r="R249" t="s">
        <v>12</v>
      </c>
      <c r="S249">
        <v>22</v>
      </c>
      <c r="T249" t="s">
        <v>143</v>
      </c>
      <c r="U249">
        <v>22</v>
      </c>
      <c r="V249" t="s">
        <v>144</v>
      </c>
      <c r="W249" t="s">
        <v>145</v>
      </c>
      <c r="X249">
        <v>46.068935109999998</v>
      </c>
      <c r="Y249">
        <v>11.121230969999999</v>
      </c>
      <c r="Z249">
        <v>48560</v>
      </c>
    </row>
    <row r="250" spans="17:27">
      <c r="Q250" s="5">
        <v>44476.708333333336</v>
      </c>
      <c r="R250" t="s">
        <v>12</v>
      </c>
      <c r="S250">
        <v>22</v>
      </c>
      <c r="T250" t="s">
        <v>143</v>
      </c>
      <c r="U250">
        <v>996</v>
      </c>
      <c r="V250" t="s">
        <v>264</v>
      </c>
      <c r="X250">
        <v>0</v>
      </c>
      <c r="Y250">
        <v>0</v>
      </c>
      <c r="Z250">
        <v>0</v>
      </c>
      <c r="AA250">
        <v>0</v>
      </c>
    </row>
    <row r="251" spans="17:27">
      <c r="Q251" s="5">
        <v>44476.708333333336</v>
      </c>
      <c r="R251" t="s">
        <v>12</v>
      </c>
      <c r="S251">
        <v>10</v>
      </c>
      <c r="T251" t="s">
        <v>227</v>
      </c>
      <c r="U251">
        <v>54</v>
      </c>
      <c r="V251" t="s">
        <v>228</v>
      </c>
      <c r="W251" t="s">
        <v>229</v>
      </c>
      <c r="X251">
        <v>43.106758409999998</v>
      </c>
      <c r="Y251">
        <v>12.38824698</v>
      </c>
      <c r="Z251">
        <v>48318</v>
      </c>
    </row>
    <row r="252" spans="17:27">
      <c r="Q252" s="5">
        <v>44476.708333333336</v>
      </c>
      <c r="R252" t="s">
        <v>12</v>
      </c>
      <c r="S252">
        <v>10</v>
      </c>
      <c r="T252" t="s">
        <v>227</v>
      </c>
      <c r="U252">
        <v>55</v>
      </c>
      <c r="V252" t="s">
        <v>230</v>
      </c>
      <c r="W252" t="s">
        <v>231</v>
      </c>
      <c r="X252">
        <v>42.560712580000001</v>
      </c>
      <c r="Y252">
        <v>12.646687500000001</v>
      </c>
      <c r="Z252">
        <v>12963</v>
      </c>
    </row>
    <row r="253" spans="17:27">
      <c r="Q253" s="5">
        <v>44476.708333333336</v>
      </c>
      <c r="R253" t="s">
        <v>12</v>
      </c>
      <c r="S253">
        <v>10</v>
      </c>
      <c r="T253" t="s">
        <v>227</v>
      </c>
      <c r="U253">
        <v>997</v>
      </c>
      <c r="V253" t="s">
        <v>264</v>
      </c>
      <c r="X253">
        <v>0</v>
      </c>
      <c r="Y253">
        <v>0</v>
      </c>
      <c r="Z253">
        <v>0</v>
      </c>
      <c r="AA253">
        <v>2760</v>
      </c>
    </row>
    <row r="254" spans="17:27">
      <c r="Q254" s="5">
        <v>44476.708333333336</v>
      </c>
      <c r="R254" t="s">
        <v>12</v>
      </c>
      <c r="S254">
        <v>2</v>
      </c>
      <c r="T254" t="s">
        <v>232</v>
      </c>
      <c r="U254">
        <v>7</v>
      </c>
      <c r="V254" t="s">
        <v>233</v>
      </c>
      <c r="W254" t="s">
        <v>234</v>
      </c>
      <c r="X254">
        <v>45.737502859999999</v>
      </c>
      <c r="Y254">
        <v>7.3201493659999999</v>
      </c>
      <c r="Z254">
        <v>11649</v>
      </c>
    </row>
    <row r="255" spans="17:27">
      <c r="Q255" s="5">
        <v>44476.708333333336</v>
      </c>
      <c r="R255" t="s">
        <v>12</v>
      </c>
      <c r="S255">
        <v>2</v>
      </c>
      <c r="T255" t="s">
        <v>232</v>
      </c>
      <c r="U255">
        <v>998</v>
      </c>
      <c r="V255" t="s">
        <v>264</v>
      </c>
      <c r="X255">
        <v>0</v>
      </c>
      <c r="Y255">
        <v>0</v>
      </c>
      <c r="Z255">
        <v>0</v>
      </c>
      <c r="AA255">
        <v>537</v>
      </c>
    </row>
    <row r="256" spans="17:27">
      <c r="Q256" s="5">
        <v>44476.708333333336</v>
      </c>
      <c r="R256" t="s">
        <v>12</v>
      </c>
      <c r="S256">
        <v>5</v>
      </c>
      <c r="T256" t="s">
        <v>235</v>
      </c>
      <c r="U256">
        <v>25</v>
      </c>
      <c r="V256" t="s">
        <v>240</v>
      </c>
      <c r="W256" t="s">
        <v>241</v>
      </c>
      <c r="X256">
        <v>46.138375279999998</v>
      </c>
      <c r="Y256">
        <v>12.21704167</v>
      </c>
      <c r="Z256">
        <v>22676</v>
      </c>
    </row>
    <row r="257" spans="17:27">
      <c r="Q257" s="5">
        <v>44476.708333333336</v>
      </c>
      <c r="R257" t="s">
        <v>12</v>
      </c>
      <c r="S257">
        <v>5</v>
      </c>
      <c r="T257" t="s">
        <v>235</v>
      </c>
      <c r="U257">
        <v>28</v>
      </c>
      <c r="V257" t="s">
        <v>246</v>
      </c>
      <c r="W257" t="s">
        <v>247</v>
      </c>
      <c r="X257">
        <v>45.406929869999999</v>
      </c>
      <c r="Y257">
        <v>11.876087180000001</v>
      </c>
      <c r="Z257">
        <v>90489</v>
      </c>
    </row>
    <row r="258" spans="17:27">
      <c r="Q258" s="5">
        <v>44476.708333333336</v>
      </c>
      <c r="R258" t="s">
        <v>12</v>
      </c>
      <c r="S258">
        <v>5</v>
      </c>
      <c r="T258" t="s">
        <v>235</v>
      </c>
      <c r="U258">
        <v>29</v>
      </c>
      <c r="V258" t="s">
        <v>248</v>
      </c>
      <c r="W258" t="s">
        <v>249</v>
      </c>
      <c r="X258">
        <v>45.071072890000003</v>
      </c>
      <c r="Y258">
        <v>11.79007</v>
      </c>
      <c r="Z258">
        <v>15778</v>
      </c>
    </row>
    <row r="259" spans="17:27">
      <c r="Q259" s="5">
        <v>44476.708333333336</v>
      </c>
      <c r="R259" t="s">
        <v>12</v>
      </c>
      <c r="S259">
        <v>5</v>
      </c>
      <c r="T259" t="s">
        <v>235</v>
      </c>
      <c r="U259">
        <v>26</v>
      </c>
      <c r="V259" t="s">
        <v>242</v>
      </c>
      <c r="W259" t="s">
        <v>243</v>
      </c>
      <c r="X259">
        <v>45.667545709999999</v>
      </c>
      <c r="Y259">
        <v>12.24507363</v>
      </c>
      <c r="Z259">
        <v>88372</v>
      </c>
    </row>
    <row r="260" spans="17:27">
      <c r="Q260" s="5">
        <v>44476.708333333336</v>
      </c>
      <c r="R260" t="s">
        <v>12</v>
      </c>
      <c r="S260">
        <v>5</v>
      </c>
      <c r="T260" t="s">
        <v>235</v>
      </c>
      <c r="U260">
        <v>27</v>
      </c>
      <c r="V260" t="s">
        <v>244</v>
      </c>
      <c r="W260" t="s">
        <v>245</v>
      </c>
      <c r="X260">
        <v>45.434904850000002</v>
      </c>
      <c r="Y260">
        <v>12.33845213</v>
      </c>
      <c r="Z260">
        <v>77391</v>
      </c>
    </row>
    <row r="261" spans="17:27">
      <c r="Q261" s="5">
        <v>44476.708333333336</v>
      </c>
      <c r="R261" t="s">
        <v>12</v>
      </c>
      <c r="S261">
        <v>5</v>
      </c>
      <c r="T261" t="s">
        <v>235</v>
      </c>
      <c r="U261">
        <v>23</v>
      </c>
      <c r="V261" t="s">
        <v>236</v>
      </c>
      <c r="W261" t="s">
        <v>237</v>
      </c>
      <c r="X261">
        <v>45.438390460000001</v>
      </c>
      <c r="Y261">
        <v>10.99352685</v>
      </c>
      <c r="Z261">
        <v>92408</v>
      </c>
    </row>
    <row r="262" spans="17:27">
      <c r="Q262" s="5">
        <v>44476.708333333336</v>
      </c>
      <c r="R262" t="s">
        <v>12</v>
      </c>
      <c r="S262">
        <v>5</v>
      </c>
      <c r="T262" t="s">
        <v>235</v>
      </c>
      <c r="U262">
        <v>24</v>
      </c>
      <c r="V262" t="s">
        <v>238</v>
      </c>
      <c r="W262" t="s">
        <v>239</v>
      </c>
      <c r="X262">
        <v>45.547497</v>
      </c>
      <c r="Y262">
        <v>11.54597109</v>
      </c>
      <c r="Z262">
        <v>76873</v>
      </c>
    </row>
    <row r="263" spans="17:27">
      <c r="Q263" s="5">
        <v>44476.708333333336</v>
      </c>
      <c r="R263" t="s">
        <v>12</v>
      </c>
      <c r="S263">
        <v>5</v>
      </c>
      <c r="T263" t="s">
        <v>235</v>
      </c>
      <c r="U263">
        <v>999</v>
      </c>
      <c r="V263" t="s">
        <v>264</v>
      </c>
      <c r="X263">
        <v>0</v>
      </c>
      <c r="Y263">
        <v>0</v>
      </c>
      <c r="Z263">
        <v>0</v>
      </c>
      <c r="AA263">
        <v>6045</v>
      </c>
    </row>
    <row r="264" spans="17:27">
      <c r="Q264" s="5"/>
    </row>
    <row r="265" spans="17:27">
      <c r="Q265" s="5"/>
    </row>
    <row r="266" spans="17:27">
      <c r="Q266" s="5"/>
    </row>
    <row r="267" spans="17:27">
      <c r="Q267" s="5"/>
    </row>
    <row r="268" spans="17:27">
      <c r="Q268" s="5"/>
    </row>
    <row r="269" spans="17:27">
      <c r="Q269" s="5"/>
    </row>
    <row r="270" spans="17:27">
      <c r="Q270" s="5"/>
    </row>
    <row r="271" spans="17:27">
      <c r="Q271" s="5"/>
    </row>
    <row r="272" spans="17:27">
      <c r="Q272" s="5"/>
    </row>
    <row r="273" spans="17:17">
      <c r="Q273" s="5"/>
    </row>
    <row r="274" spans="17:17">
      <c r="Q274" s="5"/>
    </row>
    <row r="275" spans="17:17">
      <c r="Q275" s="5"/>
    </row>
    <row r="276" spans="17:17">
      <c r="Q276" s="5"/>
    </row>
    <row r="277" spans="17:17">
      <c r="Q277" s="5"/>
    </row>
    <row r="278" spans="17:17">
      <c r="Q278" s="5"/>
    </row>
    <row r="279" spans="17:17">
      <c r="Q279" s="5"/>
    </row>
    <row r="280" spans="17:17">
      <c r="Q280" s="5"/>
    </row>
    <row r="281" spans="17:17">
      <c r="Q281" s="5"/>
    </row>
    <row r="282" spans="17:17">
      <c r="Q282" s="5"/>
    </row>
    <row r="283" spans="17:17">
      <c r="Q283" s="5"/>
    </row>
    <row r="284" spans="17:17">
      <c r="Q284" s="5"/>
    </row>
    <row r="285" spans="17:17">
      <c r="Q285" s="5"/>
    </row>
    <row r="286" spans="17:17">
      <c r="Q286" s="5"/>
    </row>
    <row r="287" spans="17:17">
      <c r="Q287" s="5"/>
    </row>
    <row r="288" spans="17:17">
      <c r="Q288" s="5"/>
    </row>
    <row r="289" spans="17:17">
      <c r="Q289" s="5"/>
    </row>
    <row r="290" spans="17:17">
      <c r="Q290" s="5"/>
    </row>
    <row r="291" spans="17:17">
      <c r="Q291" s="5"/>
    </row>
    <row r="292" spans="17:17">
      <c r="Q292" s="5"/>
    </row>
    <row r="293" spans="17:17">
      <c r="Q293" s="5"/>
    </row>
    <row r="294" spans="17:17">
      <c r="Q294" s="5"/>
    </row>
    <row r="295" spans="17:17">
      <c r="Q295" s="5"/>
    </row>
    <row r="296" spans="17:17">
      <c r="Q296" s="5"/>
    </row>
    <row r="297" spans="17:17">
      <c r="Q297" s="5"/>
    </row>
    <row r="298" spans="17:17">
      <c r="Q298" s="5"/>
    </row>
    <row r="299" spans="17:17">
      <c r="Q299" s="5"/>
    </row>
    <row r="300" spans="17:17">
      <c r="Q300" s="5"/>
    </row>
    <row r="301" spans="17:17">
      <c r="Q301" s="5"/>
    </row>
    <row r="302" spans="17:17">
      <c r="Q302" s="5"/>
    </row>
    <row r="303" spans="17:17">
      <c r="Q303" s="5"/>
    </row>
    <row r="304" spans="17:17">
      <c r="Q304" s="5"/>
    </row>
    <row r="305" spans="17:17">
      <c r="Q305" s="5"/>
    </row>
    <row r="306" spans="17:17">
      <c r="Q306" s="5"/>
    </row>
    <row r="307" spans="17:17">
      <c r="Q307" s="5"/>
    </row>
    <row r="308" spans="17:17">
      <c r="Q308" s="5"/>
    </row>
    <row r="309" spans="17:17">
      <c r="Q309" s="5"/>
    </row>
    <row r="310" spans="17:17">
      <c r="Q310" s="5"/>
    </row>
    <row r="311" spans="17:17">
      <c r="Q311" s="5"/>
    </row>
    <row r="312" spans="17:17">
      <c r="Q312" s="5"/>
    </row>
    <row r="313" spans="17:17">
      <c r="Q313" s="5"/>
    </row>
    <row r="314" spans="17:17">
      <c r="Q314" s="5"/>
    </row>
    <row r="315" spans="17:17">
      <c r="Q315" s="5"/>
    </row>
    <row r="316" spans="17:17">
      <c r="Q316" s="5"/>
    </row>
    <row r="317" spans="17:17">
      <c r="Q317" s="5"/>
    </row>
    <row r="318" spans="17:17">
      <c r="Q318" s="5"/>
    </row>
    <row r="319" spans="17:17">
      <c r="Q319" s="5"/>
    </row>
    <row r="320" spans="17:17">
      <c r="Q320" s="5"/>
    </row>
    <row r="321" spans="17:17">
      <c r="Q321" s="5"/>
    </row>
    <row r="322" spans="17:17">
      <c r="Q322" s="5"/>
    </row>
    <row r="323" spans="17:17">
      <c r="Q323" s="5"/>
    </row>
    <row r="324" spans="17:17">
      <c r="Q324" s="5"/>
    </row>
    <row r="325" spans="17:17">
      <c r="Q325" s="5"/>
    </row>
    <row r="326" spans="17:17">
      <c r="Q326" s="5"/>
    </row>
    <row r="327" spans="17:17">
      <c r="Q327" s="5"/>
    </row>
    <row r="328" spans="17:17">
      <c r="Q328" s="5"/>
    </row>
    <row r="329" spans="17:17">
      <c r="Q329" s="5"/>
    </row>
    <row r="330" spans="17:17">
      <c r="Q330" s="5"/>
    </row>
    <row r="331" spans="17:17">
      <c r="Q331" s="5"/>
    </row>
    <row r="332" spans="17:17">
      <c r="Q332" s="5"/>
    </row>
    <row r="333" spans="17:17">
      <c r="Q333" s="5"/>
    </row>
    <row r="334" spans="17:17">
      <c r="Q334" s="5"/>
    </row>
    <row r="335" spans="17:17">
      <c r="Q335" s="5"/>
    </row>
    <row r="336" spans="17:17">
      <c r="Q336" s="5"/>
    </row>
    <row r="337" spans="17:17">
      <c r="Q337" s="5"/>
    </row>
    <row r="338" spans="17:17">
      <c r="Q338" s="5"/>
    </row>
    <row r="339" spans="17:17">
      <c r="Q339" s="5"/>
    </row>
    <row r="340" spans="17:17">
      <c r="Q340" s="5"/>
    </row>
    <row r="341" spans="17:17">
      <c r="Q341" s="5"/>
    </row>
    <row r="342" spans="17:17">
      <c r="Q342" s="5"/>
    </row>
    <row r="343" spans="17:17">
      <c r="Q343" s="5"/>
    </row>
    <row r="344" spans="17:17">
      <c r="Q344" s="5"/>
    </row>
    <row r="345" spans="17:17">
      <c r="Q345" s="5"/>
    </row>
    <row r="346" spans="17:17">
      <c r="Q346" s="5"/>
    </row>
    <row r="347" spans="17:17">
      <c r="Q347" s="5"/>
    </row>
    <row r="348" spans="17:17">
      <c r="Q348" s="5"/>
    </row>
    <row r="349" spans="17:17">
      <c r="Q349" s="5"/>
    </row>
    <row r="350" spans="17:17">
      <c r="Q350" s="5"/>
    </row>
    <row r="351" spans="17:17">
      <c r="Q351" s="5"/>
    </row>
    <row r="352" spans="17:17">
      <c r="Q352" s="5"/>
    </row>
    <row r="353" spans="17:17">
      <c r="Q353" s="5"/>
    </row>
    <row r="354" spans="17:17">
      <c r="Q354" s="5"/>
    </row>
    <row r="355" spans="17:17">
      <c r="Q355" s="5"/>
    </row>
    <row r="356" spans="17:17">
      <c r="Q356" s="5"/>
    </row>
    <row r="357" spans="17:17">
      <c r="Q357" s="5"/>
    </row>
    <row r="358" spans="17:17">
      <c r="Q358" s="5"/>
    </row>
    <row r="359" spans="17:17">
      <c r="Q359" s="5"/>
    </row>
    <row r="360" spans="17:17">
      <c r="Q360" s="5"/>
    </row>
    <row r="361" spans="17:17">
      <c r="Q361" s="5"/>
    </row>
    <row r="362" spans="17:17">
      <c r="Q362" s="5"/>
    </row>
    <row r="363" spans="17:17">
      <c r="Q363" s="5"/>
    </row>
    <row r="364" spans="17:17">
      <c r="Q364" s="5"/>
    </row>
    <row r="365" spans="17:17">
      <c r="Q365" s="5"/>
    </row>
    <row r="366" spans="17:17">
      <c r="Q366" s="5"/>
    </row>
    <row r="367" spans="17:17">
      <c r="Q367" s="5"/>
    </row>
    <row r="368" spans="17:17">
      <c r="Q368" s="5"/>
    </row>
    <row r="369" spans="17:17">
      <c r="Q369" s="5"/>
    </row>
    <row r="370" spans="17:17">
      <c r="Q370" s="5"/>
    </row>
    <row r="371" spans="17:17">
      <c r="Q371" s="5"/>
    </row>
    <row r="372" spans="17:17">
      <c r="Q372" s="5"/>
    </row>
    <row r="373" spans="17:17">
      <c r="Q373" s="5"/>
    </row>
    <row r="374" spans="17:17">
      <c r="Q374" s="5"/>
    </row>
    <row r="375" spans="17:17">
      <c r="Q375" s="5"/>
    </row>
    <row r="376" spans="17:17">
      <c r="Q376" s="5"/>
    </row>
    <row r="377" spans="17:17">
      <c r="Q377" s="5"/>
    </row>
    <row r="378" spans="17:17">
      <c r="Q378" s="5"/>
    </row>
    <row r="379" spans="17:17">
      <c r="Q379" s="5"/>
    </row>
    <row r="380" spans="17:17">
      <c r="Q380" s="5"/>
    </row>
    <row r="381" spans="17:17">
      <c r="Q381" s="5"/>
    </row>
    <row r="382" spans="17:17">
      <c r="Q382" s="5"/>
    </row>
    <row r="383" spans="17:17">
      <c r="Q383" s="5"/>
    </row>
    <row r="384" spans="17:17">
      <c r="Q384" s="5"/>
    </row>
    <row r="385" spans="17:17">
      <c r="Q385" s="5"/>
    </row>
    <row r="386" spans="17:17">
      <c r="Q386" s="5"/>
    </row>
    <row r="387" spans="17:17">
      <c r="Q387" s="5"/>
    </row>
    <row r="388" spans="17:17">
      <c r="Q388" s="5"/>
    </row>
    <row r="389" spans="17:17">
      <c r="Q389" s="5"/>
    </row>
    <row r="390" spans="17:17">
      <c r="Q390" s="5"/>
    </row>
    <row r="391" spans="17:17">
      <c r="Q391" s="5"/>
    </row>
    <row r="392" spans="17:17">
      <c r="Q392" s="5"/>
    </row>
    <row r="393" spans="17:17">
      <c r="Q393" s="5"/>
    </row>
    <row r="394" spans="17:17">
      <c r="Q394" s="5"/>
    </row>
    <row r="395" spans="17:17">
      <c r="Q395" s="5"/>
    </row>
    <row r="396" spans="17:17">
      <c r="Q396" s="5"/>
    </row>
    <row r="397" spans="17:17">
      <c r="Q397" s="5"/>
    </row>
    <row r="398" spans="17:17">
      <c r="Q398" s="5"/>
    </row>
    <row r="399" spans="17:17">
      <c r="Q399" s="5"/>
    </row>
    <row r="400" spans="17:17">
      <c r="Q400" s="5"/>
    </row>
    <row r="401" spans="17:17">
      <c r="Q401" s="5"/>
    </row>
    <row r="402" spans="17:17">
      <c r="Q402" s="5"/>
    </row>
    <row r="403" spans="17:17">
      <c r="Q403" s="5"/>
    </row>
    <row r="404" spans="17:17">
      <c r="Q404" s="5"/>
    </row>
    <row r="405" spans="17:17">
      <c r="Q405" s="5"/>
    </row>
    <row r="406" spans="17:17">
      <c r="Q406" s="5"/>
    </row>
    <row r="407" spans="17:17">
      <c r="Q407" s="5"/>
    </row>
    <row r="408" spans="17:17">
      <c r="Q408" s="5"/>
    </row>
    <row r="409" spans="17:17">
      <c r="Q409" s="5"/>
    </row>
    <row r="410" spans="17:17">
      <c r="Q410" s="5"/>
    </row>
    <row r="411" spans="17:17">
      <c r="Q411" s="5"/>
    </row>
    <row r="412" spans="17:17">
      <c r="Q412" s="5"/>
    </row>
    <row r="413" spans="17:17">
      <c r="Q413" s="5"/>
    </row>
    <row r="414" spans="17:17">
      <c r="Q414" s="5"/>
    </row>
    <row r="415" spans="17:17">
      <c r="Q415" s="5"/>
    </row>
    <row r="416" spans="17:17">
      <c r="Q416" s="5"/>
    </row>
    <row r="417" spans="17:17">
      <c r="Q417" s="5"/>
    </row>
    <row r="418" spans="17:17">
      <c r="Q418" s="5"/>
    </row>
    <row r="419" spans="17:17">
      <c r="Q419" s="5"/>
    </row>
    <row r="420" spans="17:17">
      <c r="Q420" s="5"/>
    </row>
    <row r="421" spans="17:17">
      <c r="Q421" s="5"/>
    </row>
    <row r="422" spans="17:17">
      <c r="Q422" s="5"/>
    </row>
    <row r="423" spans="17:17">
      <c r="Q423" s="5"/>
    </row>
    <row r="424" spans="17:17">
      <c r="Q424" s="5"/>
    </row>
    <row r="425" spans="17:17">
      <c r="Q425" s="5"/>
    </row>
    <row r="426" spans="17:17">
      <c r="Q426" s="5"/>
    </row>
    <row r="427" spans="17:17">
      <c r="Q427" s="5"/>
    </row>
    <row r="428" spans="17:17">
      <c r="Q428" s="5"/>
    </row>
    <row r="429" spans="17:17">
      <c r="Q429" s="5"/>
    </row>
    <row r="430" spans="17:17">
      <c r="Q430" s="5"/>
    </row>
    <row r="431" spans="17:17">
      <c r="Q431" s="5"/>
    </row>
    <row r="432" spans="17:17">
      <c r="Q432" s="5"/>
    </row>
    <row r="433" spans="17:17">
      <c r="Q433" s="5"/>
    </row>
    <row r="434" spans="17:17">
      <c r="Q434" s="5"/>
    </row>
    <row r="435" spans="17:17">
      <c r="Q435" s="5"/>
    </row>
    <row r="436" spans="17:17">
      <c r="Q436" s="5"/>
    </row>
    <row r="437" spans="17:17">
      <c r="Q437" s="5"/>
    </row>
    <row r="438" spans="17:17">
      <c r="Q438" s="5"/>
    </row>
    <row r="439" spans="17:17">
      <c r="Q439" s="5"/>
    </row>
    <row r="440" spans="17:17">
      <c r="Q440" s="5"/>
    </row>
    <row r="441" spans="17:17">
      <c r="Q441" s="5"/>
    </row>
    <row r="442" spans="17:17">
      <c r="Q442" s="5"/>
    </row>
    <row r="443" spans="17:17">
      <c r="Q443" s="5"/>
    </row>
    <row r="444" spans="17:17">
      <c r="Q444" s="5"/>
    </row>
    <row r="445" spans="17:17">
      <c r="Q445" s="5"/>
    </row>
    <row r="446" spans="17:17">
      <c r="Q446" s="5"/>
    </row>
    <row r="447" spans="17:17">
      <c r="Q447" s="5"/>
    </row>
    <row r="448" spans="17:17">
      <c r="Q448" s="5"/>
    </row>
    <row r="449" spans="17:17">
      <c r="Q449" s="5"/>
    </row>
    <row r="450" spans="17:17">
      <c r="Q450" s="5"/>
    </row>
    <row r="451" spans="17:17">
      <c r="Q451" s="5"/>
    </row>
    <row r="452" spans="17:17">
      <c r="Q452" s="5"/>
    </row>
    <row r="453" spans="17:17">
      <c r="Q453" s="5"/>
    </row>
    <row r="454" spans="17:17">
      <c r="Q454" s="5"/>
    </row>
    <row r="455" spans="17:17">
      <c r="Q455" s="5"/>
    </row>
    <row r="456" spans="17:17">
      <c r="Q456" s="5"/>
    </row>
    <row r="457" spans="17:17">
      <c r="Q457" s="5"/>
    </row>
    <row r="458" spans="17:17">
      <c r="Q458" s="5"/>
    </row>
    <row r="459" spans="17:17">
      <c r="Q459" s="5"/>
    </row>
    <row r="460" spans="17:17">
      <c r="Q460" s="5"/>
    </row>
    <row r="461" spans="17:17">
      <c r="Q461" s="5"/>
    </row>
    <row r="462" spans="17:17">
      <c r="Q462" s="5"/>
    </row>
    <row r="463" spans="17:17">
      <c r="Q463" s="5"/>
    </row>
    <row r="464" spans="17:17">
      <c r="Q464" s="5"/>
    </row>
    <row r="465" spans="17:17">
      <c r="Q465" s="5"/>
    </row>
    <row r="466" spans="17:17">
      <c r="Q466" s="5"/>
    </row>
    <row r="467" spans="17:17">
      <c r="Q467" s="5"/>
    </row>
    <row r="468" spans="17:17">
      <c r="Q468" s="5"/>
    </row>
    <row r="469" spans="17:17">
      <c r="Q469" s="5"/>
    </row>
    <row r="470" spans="17:17">
      <c r="Q470" s="5"/>
    </row>
    <row r="471" spans="17:17">
      <c r="Q471" s="5"/>
    </row>
    <row r="472" spans="17:17">
      <c r="Q472" s="5"/>
    </row>
    <row r="473" spans="17:17">
      <c r="Q473" s="5"/>
    </row>
    <row r="474" spans="17:17">
      <c r="Q474" s="5"/>
    </row>
    <row r="475" spans="17:17">
      <c r="Q475" s="5"/>
    </row>
    <row r="476" spans="17:17">
      <c r="Q476" s="5"/>
    </row>
    <row r="477" spans="17:17">
      <c r="Q477" s="5"/>
    </row>
    <row r="478" spans="17:17">
      <c r="Q478" s="5"/>
    </row>
    <row r="479" spans="17:17">
      <c r="Q479" s="5"/>
    </row>
    <row r="480" spans="17:17">
      <c r="Q480" s="5"/>
    </row>
    <row r="481" spans="17:17">
      <c r="Q481" s="5"/>
    </row>
    <row r="482" spans="17:17">
      <c r="Q482" s="5"/>
    </row>
    <row r="483" spans="17:17">
      <c r="Q483" s="5"/>
    </row>
    <row r="484" spans="17:17">
      <c r="Q484" s="5"/>
    </row>
    <row r="485" spans="17:17">
      <c r="Q485" s="5"/>
    </row>
    <row r="486" spans="17:17">
      <c r="Q486" s="5"/>
    </row>
    <row r="487" spans="17:17">
      <c r="Q487" s="5"/>
    </row>
    <row r="488" spans="17:17">
      <c r="Q488" s="5"/>
    </row>
    <row r="489" spans="17:17">
      <c r="Q489" s="5"/>
    </row>
    <row r="490" spans="17:17">
      <c r="Q490" s="5"/>
    </row>
    <row r="491" spans="17:17">
      <c r="Q491" s="5"/>
    </row>
    <row r="492" spans="17:17">
      <c r="Q492" s="5"/>
    </row>
    <row r="493" spans="17:17">
      <c r="Q493" s="5"/>
    </row>
    <row r="494" spans="17:17">
      <c r="Q494" s="5"/>
    </row>
    <row r="495" spans="17:17">
      <c r="Q495" s="5"/>
    </row>
    <row r="496" spans="17:17">
      <c r="Q496" s="5"/>
    </row>
    <row r="497" spans="17:17">
      <c r="Q497" s="5"/>
    </row>
    <row r="498" spans="17:17">
      <c r="Q498" s="5"/>
    </row>
    <row r="499" spans="17:17">
      <c r="Q499" s="5"/>
    </row>
    <row r="500" spans="17:17">
      <c r="Q500" s="5"/>
    </row>
    <row r="501" spans="17:17">
      <c r="Q501" s="5"/>
    </row>
    <row r="502" spans="17:17">
      <c r="Q502" s="5"/>
    </row>
    <row r="503" spans="17:17">
      <c r="Q503" s="5"/>
    </row>
    <row r="504" spans="17:17">
      <c r="Q504" s="5"/>
    </row>
    <row r="505" spans="17:17">
      <c r="Q505" s="5"/>
    </row>
    <row r="506" spans="17:17">
      <c r="Q506" s="5"/>
    </row>
    <row r="507" spans="17:17">
      <c r="Q507" s="5"/>
    </row>
    <row r="508" spans="17:17">
      <c r="Q508" s="5"/>
    </row>
    <row r="509" spans="17:17">
      <c r="Q509" s="5"/>
    </row>
    <row r="510" spans="17:17">
      <c r="Q510" s="5"/>
    </row>
    <row r="511" spans="17:17">
      <c r="Q511" s="5"/>
    </row>
    <row r="512" spans="17:17">
      <c r="Q512" s="5"/>
    </row>
    <row r="513" spans="17:17">
      <c r="Q513" s="5"/>
    </row>
    <row r="514" spans="17:17">
      <c r="Q514" s="5"/>
    </row>
    <row r="515" spans="17:17">
      <c r="Q515" s="5"/>
    </row>
    <row r="516" spans="17:17">
      <c r="Q516" s="5"/>
    </row>
    <row r="517" spans="17:17">
      <c r="Q517" s="5"/>
    </row>
    <row r="518" spans="17:17">
      <c r="Q518" s="5"/>
    </row>
    <row r="519" spans="17:17">
      <c r="Q519" s="5"/>
    </row>
  </sheetData>
  <hyperlinks>
    <hyperlink ref="AF1" r:id="rId1" xr:uid="{9C28DDBB-222A-406D-8A4E-57FC49A679AB}"/>
    <hyperlink ref="AC2" r:id="rId2" xr:uid="{8FE7D193-8B3C-437C-9BF9-B8148CA34DDB}"/>
    <hyperlink ref="AC3" r:id="rId3" xr:uid="{8FBC5B46-BC37-45BB-BE71-7598EAA13E91}"/>
    <hyperlink ref="Q133" r:id="rId4" xr:uid="{D4E99C79-DBB0-4AA1-BF1F-2B2F3D43CECC}"/>
    <hyperlink ref="Q134" r:id="rId5" xr:uid="{64579363-0F1A-4B2E-A0CF-0E211681C9A6}"/>
  </hyperlinks>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4098" r:id="rId8" name="Button 2">
              <controlPr defaultSize="0" print="0" autoFill="0" autoPict="0" macro="[0]!transfer_to_RegionalTrends">
                <anchor moveWithCells="1" sizeWithCells="1">
                  <from>
                    <xdr:col>28</xdr:col>
                    <xdr:colOff>57150</xdr:colOff>
                    <xdr:row>7</xdr:row>
                    <xdr:rowOff>19050</xdr:rowOff>
                  </from>
                  <to>
                    <xdr:col>31</xdr:col>
                    <xdr:colOff>381000</xdr:colOff>
                    <xdr:row>9</xdr:row>
                    <xdr:rowOff>0</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4"/>
  <dimension ref="A1:D152"/>
  <sheetViews>
    <sheetView workbookViewId="0">
      <pane ySplit="1500" topLeftCell="A139" activePane="bottomLeft"/>
      <selection sqref="A1:B152"/>
      <selection pane="bottomLeft" activeCell="B157" sqref="B156:B157"/>
    </sheetView>
  </sheetViews>
  <sheetFormatPr defaultRowHeight="15"/>
  <cols>
    <col min="1" max="1" width="15.85546875" bestFit="1" customWidth="1"/>
    <col min="2" max="2" width="81.140625" bestFit="1" customWidth="1"/>
  </cols>
  <sheetData>
    <row r="1" spans="1:4">
      <c r="A1" t="s">
        <v>1</v>
      </c>
      <c r="B1" t="s">
        <v>11</v>
      </c>
      <c r="D1" s="3" t="s">
        <v>351</v>
      </c>
    </row>
    <row r="2" spans="1:4">
      <c r="A2" s="1">
        <v>43897.708333333336</v>
      </c>
      <c r="B2" s="2" t="s">
        <v>265</v>
      </c>
    </row>
    <row r="3" spans="1:4">
      <c r="A3" s="1">
        <v>43900.708333333336</v>
      </c>
      <c r="B3" s="2" t="s">
        <v>266</v>
      </c>
    </row>
    <row r="4" spans="1:4">
      <c r="A4" s="1">
        <v>43983.708333333336</v>
      </c>
      <c r="B4" s="2" t="s">
        <v>267</v>
      </c>
    </row>
    <row r="5" spans="1:4">
      <c r="A5" s="1">
        <v>44007.708333333336</v>
      </c>
      <c r="B5" s="2" t="s">
        <v>268</v>
      </c>
    </row>
    <row r="6" spans="1:4">
      <c r="A6" s="1">
        <v>44008.708333333336</v>
      </c>
      <c r="B6" s="2" t="s">
        <v>269</v>
      </c>
    </row>
    <row r="7" spans="1:4">
      <c r="A7" s="1">
        <v>44013.708333333336</v>
      </c>
      <c r="B7" s="2" t="s">
        <v>270</v>
      </c>
    </row>
    <row r="8" spans="1:4">
      <c r="A8" s="1">
        <v>44018.708333333336</v>
      </c>
      <c r="B8" s="2" t="s">
        <v>271</v>
      </c>
    </row>
    <row r="9" spans="1:4">
      <c r="A9" s="1">
        <v>44019.708333333336</v>
      </c>
      <c r="B9" s="2" t="s">
        <v>272</v>
      </c>
    </row>
    <row r="10" spans="1:4">
      <c r="A10" s="1">
        <v>44020.708333333336</v>
      </c>
      <c r="B10" s="2" t="s">
        <v>273</v>
      </c>
    </row>
    <row r="11" spans="1:4">
      <c r="A11" s="1">
        <v>44021.708333333336</v>
      </c>
      <c r="B11" s="2" t="s">
        <v>274</v>
      </c>
    </row>
    <row r="12" spans="1:4">
      <c r="A12" s="1">
        <v>44022.708333333336</v>
      </c>
      <c r="B12" s="2" t="s">
        <v>275</v>
      </c>
    </row>
    <row r="13" spans="1:4">
      <c r="A13" s="1">
        <v>44024.708333333336</v>
      </c>
      <c r="B13" s="2" t="s">
        <v>276</v>
      </c>
    </row>
    <row r="14" spans="1:4">
      <c r="A14" s="1">
        <v>44027.708333333336</v>
      </c>
      <c r="B14" s="2" t="s">
        <v>277</v>
      </c>
    </row>
    <row r="15" spans="1:4">
      <c r="A15" s="1">
        <v>44029.708333333336</v>
      </c>
      <c r="B15" s="2" t="s">
        <v>278</v>
      </c>
    </row>
    <row r="16" spans="1:4">
      <c r="A16" s="1">
        <v>44031.708333333336</v>
      </c>
      <c r="B16" s="2" t="s">
        <v>279</v>
      </c>
    </row>
    <row r="17" spans="1:2">
      <c r="A17" s="1">
        <v>44033.708333333336</v>
      </c>
      <c r="B17" s="2" t="s">
        <v>280</v>
      </c>
    </row>
    <row r="18" spans="1:2">
      <c r="A18" s="1">
        <v>44034.708333333336</v>
      </c>
      <c r="B18" s="2" t="s">
        <v>281</v>
      </c>
    </row>
    <row r="19" spans="1:2">
      <c r="A19" s="1">
        <v>44037.708333333336</v>
      </c>
      <c r="B19" s="2" t="s">
        <v>282</v>
      </c>
    </row>
    <row r="20" spans="1:2">
      <c r="A20" s="1">
        <v>44038.708333333336</v>
      </c>
      <c r="B20" s="2" t="s">
        <v>283</v>
      </c>
    </row>
    <row r="21" spans="1:2">
      <c r="A21" s="1">
        <v>44039.708333333336</v>
      </c>
      <c r="B21" s="2" t="s">
        <v>284</v>
      </c>
    </row>
    <row r="22" spans="1:2">
      <c r="A22" s="1">
        <v>44040.708333333336</v>
      </c>
      <c r="B22" s="2" t="s">
        <v>285</v>
      </c>
    </row>
    <row r="23" spans="1:2">
      <c r="A23" s="1">
        <v>44041.708333333336</v>
      </c>
      <c r="B23" s="2" t="s">
        <v>286</v>
      </c>
    </row>
    <row r="24" spans="1:2">
      <c r="A24" s="1">
        <v>44042.708333333336</v>
      </c>
      <c r="B24" s="2" t="s">
        <v>287</v>
      </c>
    </row>
    <row r="25" spans="1:2">
      <c r="A25" s="1">
        <v>44043.708333333336</v>
      </c>
      <c r="B25" s="2" t="s">
        <v>288</v>
      </c>
    </row>
    <row r="26" spans="1:2">
      <c r="A26" s="1">
        <v>44044.708333333336</v>
      </c>
      <c r="B26" s="2" t="s">
        <v>289</v>
      </c>
    </row>
    <row r="27" spans="1:2">
      <c r="A27" s="1">
        <v>44045.708333333336</v>
      </c>
      <c r="B27" s="2" t="s">
        <v>290</v>
      </c>
    </row>
    <row r="28" spans="1:2">
      <c r="A28" s="1">
        <v>44046.708333333336</v>
      </c>
      <c r="B28" s="2" t="s">
        <v>291</v>
      </c>
    </row>
    <row r="29" spans="1:2">
      <c r="A29" s="1">
        <v>44047.708333333336</v>
      </c>
      <c r="B29" s="2" t="s">
        <v>292</v>
      </c>
    </row>
    <row r="30" spans="1:2">
      <c r="A30" s="1">
        <v>44049.708333333336</v>
      </c>
      <c r="B30" s="2" t="s">
        <v>293</v>
      </c>
    </row>
    <row r="31" spans="1:2">
      <c r="A31" s="1">
        <v>44052.708333333336</v>
      </c>
      <c r="B31" s="2" t="s">
        <v>294</v>
      </c>
    </row>
    <row r="32" spans="1:2">
      <c r="A32" s="1">
        <v>44054.708333333336</v>
      </c>
      <c r="B32" s="2" t="s">
        <v>310</v>
      </c>
    </row>
    <row r="33" spans="1:2">
      <c r="A33" s="1">
        <v>44055.708333333336</v>
      </c>
      <c r="B33" s="2" t="s">
        <v>295</v>
      </c>
    </row>
    <row r="34" spans="1:2">
      <c r="A34" s="1">
        <v>44056.708333333336</v>
      </c>
      <c r="B34" s="2" t="s">
        <v>296</v>
      </c>
    </row>
    <row r="35" spans="1:2">
      <c r="A35" s="1">
        <v>44057.708333333336</v>
      </c>
      <c r="B35" s="2" t="s">
        <v>297</v>
      </c>
    </row>
    <row r="36" spans="1:2">
      <c r="A36" s="1">
        <v>44058.708333333336</v>
      </c>
      <c r="B36" s="2" t="s">
        <v>298</v>
      </c>
    </row>
    <row r="37" spans="1:2">
      <c r="A37" s="1">
        <v>44059.708333333336</v>
      </c>
      <c r="B37" s="2" t="s">
        <v>299</v>
      </c>
    </row>
    <row r="38" spans="1:2">
      <c r="A38" s="1">
        <v>44061.708333333336</v>
      </c>
      <c r="B38" s="2" t="s">
        <v>300</v>
      </c>
    </row>
    <row r="39" spans="1:2">
      <c r="A39" s="1">
        <v>44063.708333333336</v>
      </c>
      <c r="B39" s="2" t="s">
        <v>301</v>
      </c>
    </row>
    <row r="40" spans="1:2">
      <c r="A40" s="1">
        <v>44065.708333333336</v>
      </c>
      <c r="B40" s="2" t="s">
        <v>302</v>
      </c>
    </row>
    <row r="41" spans="1:2">
      <c r="A41" s="1">
        <v>44066.708333333336</v>
      </c>
      <c r="B41" s="2" t="s">
        <v>303</v>
      </c>
    </row>
    <row r="42" spans="1:2">
      <c r="A42" s="1">
        <v>44067.708333333336</v>
      </c>
      <c r="B42" s="2" t="s">
        <v>304</v>
      </c>
    </row>
    <row r="43" spans="1:2">
      <c r="A43" s="1">
        <v>44068.708333333336</v>
      </c>
      <c r="B43" s="2" t="s">
        <v>305</v>
      </c>
    </row>
    <row r="44" spans="1:2">
      <c r="A44" s="1">
        <v>44069.708333333336</v>
      </c>
      <c r="B44" s="2" t="s">
        <v>306</v>
      </c>
    </row>
    <row r="45" spans="1:2">
      <c r="A45" s="1">
        <v>44070.708333333336</v>
      </c>
      <c r="B45" s="2" t="s">
        <v>307</v>
      </c>
    </row>
    <row r="46" spans="1:2">
      <c r="A46" s="1">
        <v>44071.708333333336</v>
      </c>
      <c r="B46" s="2" t="s">
        <v>308</v>
      </c>
    </row>
    <row r="47" spans="1:2">
      <c r="A47" s="1">
        <v>44072.708333333336</v>
      </c>
      <c r="B47" s="2" t="s">
        <v>309</v>
      </c>
    </row>
    <row r="48" spans="1:2">
      <c r="A48" s="1">
        <v>44073.708333333336</v>
      </c>
      <c r="B48" s="2" t="s">
        <v>311</v>
      </c>
    </row>
    <row r="49" spans="1:2">
      <c r="A49" s="1">
        <v>44074.708333333336</v>
      </c>
      <c r="B49" s="2" t="s">
        <v>312</v>
      </c>
    </row>
    <row r="50" spans="1:2">
      <c r="A50" s="1">
        <v>44075.708333333336</v>
      </c>
      <c r="B50" s="2" t="s">
        <v>313</v>
      </c>
    </row>
    <row r="51" spans="1:2">
      <c r="A51" s="1">
        <v>44076.708333333336</v>
      </c>
      <c r="B51" s="2" t="s">
        <v>314</v>
      </c>
    </row>
    <row r="52" spans="1:2">
      <c r="A52" s="1">
        <v>44077.708333333336</v>
      </c>
      <c r="B52" s="2" t="s">
        <v>315</v>
      </c>
    </row>
    <row r="53" spans="1:2">
      <c r="A53" s="1">
        <v>44078.708333333336</v>
      </c>
      <c r="B53" s="2" t="s">
        <v>316</v>
      </c>
    </row>
    <row r="54" spans="1:2">
      <c r="A54" s="1">
        <v>44079.708333333336</v>
      </c>
      <c r="B54" s="2" t="s">
        <v>317</v>
      </c>
    </row>
    <row r="55" spans="1:2">
      <c r="A55" s="1">
        <v>44080.708333333336</v>
      </c>
      <c r="B55" s="2" t="s">
        <v>318</v>
      </c>
    </row>
    <row r="56" spans="1:2">
      <c r="A56" s="1">
        <v>44081.708333333336</v>
      </c>
      <c r="B56" s="2" t="s">
        <v>319</v>
      </c>
    </row>
    <row r="57" spans="1:2">
      <c r="A57" s="1">
        <v>44082.708333333336</v>
      </c>
      <c r="B57" s="2" t="s">
        <v>320</v>
      </c>
    </row>
    <row r="58" spans="1:2">
      <c r="A58" s="1">
        <v>44083.708333333336</v>
      </c>
      <c r="B58" s="2" t="s">
        <v>321</v>
      </c>
    </row>
    <row r="59" spans="1:2">
      <c r="A59" s="1">
        <v>44085.708333333336</v>
      </c>
      <c r="B59" s="2" t="s">
        <v>322</v>
      </c>
    </row>
    <row r="60" spans="1:2">
      <c r="A60" s="1">
        <v>44086.708333333336</v>
      </c>
      <c r="B60" s="2" t="s">
        <v>323</v>
      </c>
    </row>
    <row r="61" spans="1:2">
      <c r="A61" s="1">
        <v>44087.708333333336</v>
      </c>
      <c r="B61" s="2" t="s">
        <v>324</v>
      </c>
    </row>
    <row r="62" spans="1:2">
      <c r="A62" s="1">
        <v>44088.708333333336</v>
      </c>
      <c r="B62" s="2" t="s">
        <v>325</v>
      </c>
    </row>
    <row r="63" spans="1:2">
      <c r="A63" s="1">
        <v>44089.708333333336</v>
      </c>
      <c r="B63" s="2" t="s">
        <v>326</v>
      </c>
    </row>
    <row r="64" spans="1:2">
      <c r="A64" s="1">
        <v>44090.708333333336</v>
      </c>
      <c r="B64" s="2" t="s">
        <v>327</v>
      </c>
    </row>
    <row r="65" spans="1:2">
      <c r="A65" s="1">
        <v>44091.708333333336</v>
      </c>
      <c r="B65" s="2" t="s">
        <v>328</v>
      </c>
    </row>
    <row r="66" spans="1:2">
      <c r="A66" s="1">
        <v>44092.708333333336</v>
      </c>
      <c r="B66" s="2" t="s">
        <v>329</v>
      </c>
    </row>
    <row r="67" spans="1:2">
      <c r="A67" s="1">
        <v>44093.708333333336</v>
      </c>
      <c r="B67" s="2" t="s">
        <v>330</v>
      </c>
    </row>
    <row r="68" spans="1:2">
      <c r="A68" s="1">
        <v>44094.708333333336</v>
      </c>
      <c r="B68" s="2" t="s">
        <v>331</v>
      </c>
    </row>
    <row r="69" spans="1:2">
      <c r="A69" s="1">
        <v>44095.708333333336</v>
      </c>
      <c r="B69" s="2" t="s">
        <v>332</v>
      </c>
    </row>
    <row r="70" spans="1:2">
      <c r="A70" s="1">
        <v>44096.708333333336</v>
      </c>
      <c r="B70" s="2" t="s">
        <v>333</v>
      </c>
    </row>
    <row r="71" spans="1:2">
      <c r="A71" s="1">
        <v>44097.708333333336</v>
      </c>
      <c r="B71" s="2" t="s">
        <v>334</v>
      </c>
    </row>
    <row r="72" spans="1:2">
      <c r="A72" s="1">
        <v>44098.708333333336</v>
      </c>
      <c r="B72" s="2" t="s">
        <v>335</v>
      </c>
    </row>
    <row r="73" spans="1:2">
      <c r="A73" s="1">
        <v>44099.708333333336</v>
      </c>
      <c r="B73" s="2" t="s">
        <v>336</v>
      </c>
    </row>
    <row r="74" spans="1:2">
      <c r="A74" s="1">
        <v>44101.708333333336</v>
      </c>
      <c r="B74" s="2" t="s">
        <v>337</v>
      </c>
    </row>
    <row r="75" spans="1:2">
      <c r="A75" s="1">
        <v>44103.708333333336</v>
      </c>
      <c r="B75" s="2" t="s">
        <v>338</v>
      </c>
    </row>
    <row r="76" spans="1:2">
      <c r="A76" s="1">
        <v>44104.708333333336</v>
      </c>
      <c r="B76" s="2" t="s">
        <v>339</v>
      </c>
    </row>
    <row r="77" spans="1:2">
      <c r="A77" s="1">
        <v>44105.708333333336</v>
      </c>
      <c r="B77" s="2" t="s">
        <v>340</v>
      </c>
    </row>
    <row r="78" spans="1:2">
      <c r="A78" s="1">
        <v>44106.708333333336</v>
      </c>
      <c r="B78" s="2" t="s">
        <v>341</v>
      </c>
    </row>
    <row r="79" spans="1:2">
      <c r="A79" s="1">
        <v>44107.708333333336</v>
      </c>
      <c r="B79" s="2" t="s">
        <v>342</v>
      </c>
    </row>
    <row r="80" spans="1:2">
      <c r="A80" s="1">
        <v>44109.708333333336</v>
      </c>
      <c r="B80" s="2" t="s">
        <v>343</v>
      </c>
    </row>
    <row r="81" spans="1:2">
      <c r="A81" s="1">
        <v>44110.708333333336</v>
      </c>
      <c r="B81" s="2" t="s">
        <v>344</v>
      </c>
    </row>
    <row r="82" spans="1:2">
      <c r="A82" s="1">
        <v>44111.708333333336</v>
      </c>
      <c r="B82" s="2" t="s">
        <v>345</v>
      </c>
    </row>
    <row r="83" spans="1:2">
      <c r="A83" s="1">
        <v>44112.708333333336</v>
      </c>
      <c r="B83" s="2" t="s">
        <v>346</v>
      </c>
    </row>
    <row r="84" spans="1:2">
      <c r="A84" s="1">
        <v>44113.708333333336</v>
      </c>
      <c r="B84" s="2" t="s">
        <v>347</v>
      </c>
    </row>
    <row r="85" spans="1:2">
      <c r="A85" s="9" t="s">
        <v>352</v>
      </c>
      <c r="B85" s="2"/>
    </row>
    <row r="86" spans="1:2">
      <c r="A86" s="9" t="s">
        <v>353</v>
      </c>
      <c r="B86" s="2"/>
    </row>
    <row r="87" spans="1:2">
      <c r="A87" s="9" t="s">
        <v>354</v>
      </c>
      <c r="B87" s="2"/>
    </row>
    <row r="88" spans="1:2">
      <c r="A88" s="9" t="s">
        <v>355</v>
      </c>
      <c r="B88" s="2"/>
    </row>
    <row r="89" spans="1:2">
      <c r="A89" s="9" t="s">
        <v>356</v>
      </c>
      <c r="B89" s="2"/>
    </row>
    <row r="90" spans="1:2">
      <c r="A90" s="9" t="s">
        <v>357</v>
      </c>
      <c r="B90" s="2"/>
    </row>
    <row r="91" spans="1:2">
      <c r="A91" s="9" t="s">
        <v>358</v>
      </c>
      <c r="B91" s="2"/>
    </row>
    <row r="92" spans="1:2">
      <c r="A92" s="9" t="s">
        <v>359</v>
      </c>
      <c r="B92" s="2"/>
    </row>
    <row r="93" spans="1:2">
      <c r="A93" s="9" t="s">
        <v>360</v>
      </c>
      <c r="B93" s="2"/>
    </row>
    <row r="94" spans="1:2">
      <c r="A94" s="9" t="s">
        <v>361</v>
      </c>
      <c r="B94" s="2"/>
    </row>
    <row r="95" spans="1:2">
      <c r="A95" s="9" t="s">
        <v>362</v>
      </c>
      <c r="B95" s="2"/>
    </row>
    <row r="96" spans="1:2">
      <c r="A96" s="9" t="s">
        <v>363</v>
      </c>
      <c r="B96" s="2"/>
    </row>
    <row r="97" spans="1:2">
      <c r="A97" s="9" t="s">
        <v>364</v>
      </c>
      <c r="B97" s="2"/>
    </row>
    <row r="98" spans="1:2">
      <c r="A98" s="9" t="s">
        <v>365</v>
      </c>
      <c r="B98" s="2"/>
    </row>
    <row r="99" spans="1:2">
      <c r="A99" s="9" t="s">
        <v>366</v>
      </c>
      <c r="B99" s="2"/>
    </row>
    <row r="100" spans="1:2">
      <c r="A100" s="9" t="s">
        <v>367</v>
      </c>
      <c r="B100" s="2"/>
    </row>
    <row r="101" spans="1:2">
      <c r="A101" s="9" t="s">
        <v>368</v>
      </c>
      <c r="B101" s="2"/>
    </row>
    <row r="102" spans="1:2">
      <c r="A102" s="9" t="s">
        <v>369</v>
      </c>
      <c r="B102" s="2"/>
    </row>
    <row r="103" spans="1:2">
      <c r="A103" s="9" t="s">
        <v>370</v>
      </c>
      <c r="B103" s="2"/>
    </row>
    <row r="104" spans="1:2">
      <c r="A104" s="9" t="s">
        <v>371</v>
      </c>
      <c r="B104" s="2"/>
    </row>
    <row r="105" spans="1:2">
      <c r="A105" s="9" t="s">
        <v>372</v>
      </c>
      <c r="B105" s="2"/>
    </row>
    <row r="106" spans="1:2">
      <c r="A106" s="9" t="s">
        <v>373</v>
      </c>
      <c r="B106" s="2"/>
    </row>
    <row r="107" spans="1:2">
      <c r="A107" s="9" t="s">
        <v>374</v>
      </c>
      <c r="B107" s="2"/>
    </row>
    <row r="108" spans="1:2">
      <c r="A108" s="9" t="s">
        <v>375</v>
      </c>
      <c r="B108" s="2"/>
    </row>
    <row r="109" spans="1:2">
      <c r="A109" s="9" t="s">
        <v>376</v>
      </c>
      <c r="B109" s="2"/>
    </row>
    <row r="110" spans="1:2">
      <c r="A110" s="9" t="s">
        <v>377</v>
      </c>
      <c r="B110" s="2"/>
    </row>
    <row r="111" spans="1:2">
      <c r="A111" s="9" t="s">
        <v>378</v>
      </c>
      <c r="B111" s="2"/>
    </row>
    <row r="112" spans="1:2">
      <c r="A112" s="9" t="s">
        <v>379</v>
      </c>
      <c r="B112" s="2"/>
    </row>
    <row r="113" spans="1:2">
      <c r="A113" s="9" t="s">
        <v>380</v>
      </c>
      <c r="B113" s="2"/>
    </row>
    <row r="114" spans="1:2">
      <c r="A114" s="9" t="s">
        <v>381</v>
      </c>
      <c r="B114" s="2"/>
    </row>
    <row r="115" spans="1:2">
      <c r="A115" s="9" t="s">
        <v>382</v>
      </c>
      <c r="B115" s="2"/>
    </row>
    <row r="116" spans="1:2">
      <c r="A116" s="9" t="s">
        <v>383</v>
      </c>
      <c r="B116" s="2"/>
    </row>
    <row r="117" spans="1:2">
      <c r="A117" s="9" t="s">
        <v>384</v>
      </c>
      <c r="B117" s="2"/>
    </row>
    <row r="118" spans="1:2">
      <c r="A118" s="9" t="s">
        <v>385</v>
      </c>
      <c r="B118" s="2"/>
    </row>
    <row r="119" spans="1:2">
      <c r="A119" s="9" t="s">
        <v>386</v>
      </c>
      <c r="B119" s="2"/>
    </row>
    <row r="120" spans="1:2">
      <c r="A120" s="9" t="s">
        <v>387</v>
      </c>
      <c r="B120" s="2"/>
    </row>
    <row r="121" spans="1:2">
      <c r="A121" s="9" t="s">
        <v>388</v>
      </c>
      <c r="B121" s="2"/>
    </row>
    <row r="122" spans="1:2">
      <c r="A122" s="9" t="s">
        <v>389</v>
      </c>
      <c r="B122" s="2"/>
    </row>
    <row r="123" spans="1:2">
      <c r="A123" s="9" t="s">
        <v>390</v>
      </c>
      <c r="B123" s="2"/>
    </row>
    <row r="124" spans="1:2">
      <c r="A124" s="9" t="s">
        <v>391</v>
      </c>
      <c r="B124" s="2"/>
    </row>
    <row r="125" spans="1:2">
      <c r="A125" s="9" t="s">
        <v>392</v>
      </c>
      <c r="B125" s="2"/>
    </row>
    <row r="126" spans="1:2">
      <c r="A126" s="9" t="s">
        <v>393</v>
      </c>
      <c r="B126" s="2"/>
    </row>
    <row r="127" spans="1:2">
      <c r="A127" s="9" t="s">
        <v>394</v>
      </c>
      <c r="B127" s="2"/>
    </row>
    <row r="128" spans="1:2">
      <c r="A128" s="9" t="s">
        <v>395</v>
      </c>
      <c r="B128" s="2"/>
    </row>
    <row r="129" spans="1:2">
      <c r="A129" s="9" t="s">
        <v>396</v>
      </c>
      <c r="B129" s="2"/>
    </row>
    <row r="130" spans="1:2">
      <c r="A130" s="9" t="s">
        <v>397</v>
      </c>
      <c r="B130" s="2"/>
    </row>
    <row r="131" spans="1:2">
      <c r="A131" s="9" t="s">
        <v>398</v>
      </c>
      <c r="B131" s="2"/>
    </row>
    <row r="132" spans="1:2">
      <c r="A132" s="9" t="s">
        <v>399</v>
      </c>
      <c r="B132" s="2"/>
    </row>
    <row r="133" spans="1:2">
      <c r="A133" s="9" t="s">
        <v>400</v>
      </c>
      <c r="B133" s="2"/>
    </row>
    <row r="134" spans="1:2">
      <c r="A134" s="9" t="s">
        <v>401</v>
      </c>
      <c r="B134" s="2"/>
    </row>
    <row r="135" spans="1:2">
      <c r="A135" s="9" t="s">
        <v>402</v>
      </c>
      <c r="B135" s="2"/>
    </row>
    <row r="136" spans="1:2">
      <c r="A136" s="9" t="s">
        <v>403</v>
      </c>
      <c r="B136" s="2"/>
    </row>
    <row r="137" spans="1:2">
      <c r="A137" s="9" t="s">
        <v>404</v>
      </c>
      <c r="B137" s="2"/>
    </row>
    <row r="138" spans="1:2">
      <c r="A138" s="9" t="s">
        <v>405</v>
      </c>
      <c r="B138" s="2"/>
    </row>
    <row r="139" spans="1:2">
      <c r="A139" s="9" t="s">
        <v>406</v>
      </c>
      <c r="B139" s="2"/>
    </row>
    <row r="140" spans="1:2">
      <c r="A140" s="9" t="s">
        <v>407</v>
      </c>
      <c r="B140" s="2"/>
    </row>
    <row r="141" spans="1:2">
      <c r="A141" s="9" t="s">
        <v>408</v>
      </c>
      <c r="B141" s="2"/>
    </row>
    <row r="142" spans="1:2">
      <c r="A142" s="9" t="s">
        <v>409</v>
      </c>
      <c r="B142" s="2"/>
    </row>
    <row r="143" spans="1:2">
      <c r="A143" s="9" t="s">
        <v>410</v>
      </c>
      <c r="B143" s="2"/>
    </row>
    <row r="144" spans="1:2">
      <c r="A144" s="9" t="s">
        <v>411</v>
      </c>
      <c r="B144" s="2"/>
    </row>
    <row r="145" spans="1:2">
      <c r="A145" s="10" t="s">
        <v>415</v>
      </c>
      <c r="B145" s="2"/>
    </row>
    <row r="146" spans="1:2">
      <c r="A146" s="10" t="s">
        <v>416</v>
      </c>
      <c r="B146" s="2"/>
    </row>
    <row r="147" spans="1:2">
      <c r="A147" s="10" t="s">
        <v>417</v>
      </c>
      <c r="B147" s="2"/>
    </row>
    <row r="148" spans="1:2">
      <c r="A148" s="10" t="s">
        <v>418</v>
      </c>
      <c r="B148" s="2"/>
    </row>
    <row r="149" spans="1:2">
      <c r="A149" s="10" t="s">
        <v>419</v>
      </c>
      <c r="B149" s="2"/>
    </row>
    <row r="150" spans="1:2">
      <c r="A150" s="10" t="s">
        <v>420</v>
      </c>
      <c r="B150" s="2"/>
    </row>
    <row r="151" spans="1:2">
      <c r="A151" s="10" t="s">
        <v>421</v>
      </c>
      <c r="B151" s="2"/>
    </row>
    <row r="152" spans="1:2">
      <c r="A152" s="10" t="s">
        <v>422</v>
      </c>
      <c r="B152" s="2"/>
    </row>
  </sheetData>
  <hyperlinks>
    <hyperlink ref="D1" r:id="rId1" xr:uid="{00000000-0004-0000-0300-000000000000}"/>
  </hyperlinks>
  <pageMargins left="0.7" right="0.7" top="0.75" bottom="0.75" header="0.3" footer="0.3"/>
  <pageSetup paperSize="9" orientation="portrait" horizontalDpi="4294967293" verticalDpi="4294967293"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5"/>
  <dimension ref="A1:H109"/>
  <sheetViews>
    <sheetView workbookViewId="0">
      <selection activeCell="H4" sqref="H4"/>
    </sheetView>
  </sheetViews>
  <sheetFormatPr defaultRowHeight="15"/>
  <cols>
    <col min="1" max="6" width="13.140625" customWidth="1"/>
  </cols>
  <sheetData>
    <row r="1" spans="1:8" ht="25.5" thickBot="1">
      <c r="A1" s="20" t="s">
        <v>559</v>
      </c>
      <c r="B1" s="21"/>
      <c r="C1" s="20" t="s">
        <v>560</v>
      </c>
      <c r="D1" s="21"/>
      <c r="E1" s="20" t="s">
        <v>561</v>
      </c>
      <c r="F1" s="21"/>
      <c r="H1" s="15" t="s">
        <v>578</v>
      </c>
    </row>
    <row r="2" spans="1:8" ht="30.75" thickBot="1">
      <c r="A2" s="11" t="s">
        <v>562</v>
      </c>
      <c r="B2" s="12" t="s">
        <v>563</v>
      </c>
      <c r="C2" s="11" t="s">
        <v>564</v>
      </c>
      <c r="D2" s="12" t="s">
        <v>563</v>
      </c>
      <c r="E2" s="12" t="s">
        <v>565</v>
      </c>
      <c r="F2" s="12" t="s">
        <v>563</v>
      </c>
    </row>
    <row r="3" spans="1:8" ht="15.75" thickBot="1">
      <c r="A3" s="22" t="s">
        <v>566</v>
      </c>
      <c r="B3" s="25" t="s">
        <v>432</v>
      </c>
      <c r="C3" s="22" t="s">
        <v>146</v>
      </c>
      <c r="D3" s="25" t="s">
        <v>437</v>
      </c>
      <c r="E3" s="13" t="s">
        <v>147</v>
      </c>
      <c r="F3" s="14" t="s">
        <v>508</v>
      </c>
    </row>
    <row r="4" spans="1:8" ht="15.75" thickBot="1">
      <c r="A4" s="23"/>
      <c r="B4" s="26"/>
      <c r="C4" s="23"/>
      <c r="D4" s="26"/>
      <c r="E4" s="13" t="s">
        <v>149</v>
      </c>
      <c r="F4" s="14" t="s">
        <v>509</v>
      </c>
    </row>
    <row r="5" spans="1:8" ht="15.75" thickBot="1">
      <c r="A5" s="23"/>
      <c r="B5" s="26"/>
      <c r="C5" s="23"/>
      <c r="D5" s="26"/>
      <c r="E5" s="13" t="s">
        <v>159</v>
      </c>
      <c r="F5" s="14" t="s">
        <v>514</v>
      </c>
    </row>
    <row r="6" spans="1:8" ht="30.75" thickBot="1">
      <c r="A6" s="23"/>
      <c r="B6" s="26"/>
      <c r="C6" s="23"/>
      <c r="D6" s="26"/>
      <c r="E6" s="13" t="s">
        <v>161</v>
      </c>
      <c r="F6" s="14" t="s">
        <v>515</v>
      </c>
    </row>
    <row r="7" spans="1:8" ht="15.75" thickBot="1">
      <c r="A7" s="23"/>
      <c r="B7" s="26"/>
      <c r="C7" s="23"/>
      <c r="D7" s="26"/>
      <c r="E7" s="13" t="s">
        <v>151</v>
      </c>
      <c r="F7" s="14" t="s">
        <v>510</v>
      </c>
    </row>
    <row r="8" spans="1:8" ht="15.75" thickBot="1">
      <c r="A8" s="23"/>
      <c r="B8" s="26"/>
      <c r="C8" s="23"/>
      <c r="D8" s="26"/>
      <c r="E8" s="13" t="s">
        <v>153</v>
      </c>
      <c r="F8" s="14" t="s">
        <v>511</v>
      </c>
    </row>
    <row r="9" spans="1:8" ht="15.75" thickBot="1">
      <c r="A9" s="23"/>
      <c r="B9" s="26"/>
      <c r="C9" s="23"/>
      <c r="D9" s="26"/>
      <c r="E9" s="13" t="s">
        <v>155</v>
      </c>
      <c r="F9" s="14" t="s">
        <v>512</v>
      </c>
    </row>
    <row r="10" spans="1:8" ht="15.75" thickBot="1">
      <c r="A10" s="23"/>
      <c r="B10" s="26"/>
      <c r="C10" s="24"/>
      <c r="D10" s="27"/>
      <c r="E10" s="13" t="s">
        <v>157</v>
      </c>
      <c r="F10" s="14" t="s">
        <v>513</v>
      </c>
    </row>
    <row r="11" spans="1:8" ht="15.75" thickBot="1">
      <c r="A11" s="23"/>
      <c r="B11" s="26"/>
      <c r="C11" s="13" t="s">
        <v>232</v>
      </c>
      <c r="D11" s="14" t="s">
        <v>447</v>
      </c>
      <c r="E11" s="13" t="s">
        <v>233</v>
      </c>
      <c r="F11" s="14" t="s">
        <v>548</v>
      </c>
    </row>
    <row r="12" spans="1:8" ht="15.75" thickBot="1">
      <c r="A12" s="23"/>
      <c r="B12" s="26"/>
      <c r="C12" s="22" t="s">
        <v>90</v>
      </c>
      <c r="D12" s="25" t="s">
        <v>433</v>
      </c>
      <c r="E12" s="13" t="s">
        <v>91</v>
      </c>
      <c r="F12" s="14" t="s">
        <v>483</v>
      </c>
    </row>
    <row r="13" spans="1:8" ht="15.75" thickBot="1">
      <c r="A13" s="23"/>
      <c r="B13" s="26"/>
      <c r="C13" s="23"/>
      <c r="D13" s="26"/>
      <c r="E13" s="13" t="s">
        <v>93</v>
      </c>
      <c r="F13" s="14" t="s">
        <v>484</v>
      </c>
    </row>
    <row r="14" spans="1:8" ht="15.75" thickBot="1">
      <c r="A14" s="23"/>
      <c r="B14" s="26"/>
      <c r="C14" s="23"/>
      <c r="D14" s="26"/>
      <c r="E14" s="13" t="s">
        <v>95</v>
      </c>
      <c r="F14" s="14" t="s">
        <v>485</v>
      </c>
    </row>
    <row r="15" spans="1:8" ht="15.75" thickBot="1">
      <c r="A15" s="23"/>
      <c r="B15" s="26"/>
      <c r="C15" s="24"/>
      <c r="D15" s="27"/>
      <c r="E15" s="13" t="s">
        <v>97</v>
      </c>
      <c r="F15" s="14" t="s">
        <v>486</v>
      </c>
    </row>
    <row r="16" spans="1:8" ht="15.75" thickBot="1">
      <c r="A16" s="23"/>
      <c r="B16" s="26"/>
      <c r="C16" s="22" t="s">
        <v>99</v>
      </c>
      <c r="D16" s="25" t="s">
        <v>434</v>
      </c>
      <c r="E16" s="13" t="s">
        <v>100</v>
      </c>
      <c r="F16" s="14" t="s">
        <v>487</v>
      </c>
    </row>
    <row r="17" spans="1:6" ht="15.75" thickBot="1">
      <c r="A17" s="23"/>
      <c r="B17" s="26"/>
      <c r="C17" s="23"/>
      <c r="D17" s="26"/>
      <c r="E17" s="13" t="s">
        <v>102</v>
      </c>
      <c r="F17" s="14" t="s">
        <v>488</v>
      </c>
    </row>
    <row r="18" spans="1:6" ht="15.75" thickBot="1">
      <c r="A18" s="23"/>
      <c r="B18" s="26"/>
      <c r="C18" s="23"/>
      <c r="D18" s="26"/>
      <c r="E18" s="13" t="s">
        <v>118</v>
      </c>
      <c r="F18" s="14" t="s">
        <v>496</v>
      </c>
    </row>
    <row r="19" spans="1:6" ht="15.75" thickBot="1">
      <c r="A19" s="23"/>
      <c r="B19" s="26"/>
      <c r="C19" s="23"/>
      <c r="D19" s="26"/>
      <c r="E19" s="13" t="s">
        <v>104</v>
      </c>
      <c r="F19" s="14" t="s">
        <v>489</v>
      </c>
    </row>
    <row r="20" spans="1:6" ht="15.75" thickBot="1">
      <c r="A20" s="23"/>
      <c r="B20" s="26"/>
      <c r="C20" s="23"/>
      <c r="D20" s="26"/>
      <c r="E20" s="13" t="s">
        <v>108</v>
      </c>
      <c r="F20" s="14" t="s">
        <v>491</v>
      </c>
    </row>
    <row r="21" spans="1:6" ht="15.75" thickBot="1">
      <c r="A21" s="23"/>
      <c r="B21" s="26"/>
      <c r="C21" s="23"/>
      <c r="D21" s="26"/>
      <c r="E21" s="13" t="s">
        <v>110</v>
      </c>
      <c r="F21" s="14" t="s">
        <v>492</v>
      </c>
    </row>
    <row r="22" spans="1:6" ht="15.75" thickBot="1">
      <c r="A22" s="23"/>
      <c r="B22" s="26"/>
      <c r="C22" s="23"/>
      <c r="D22" s="26"/>
      <c r="E22" s="13" t="s">
        <v>112</v>
      </c>
      <c r="F22" s="14" t="s">
        <v>493</v>
      </c>
    </row>
    <row r="23" spans="1:6" ht="15.75" thickBot="1">
      <c r="A23" s="23"/>
      <c r="B23" s="26"/>
      <c r="C23" s="23"/>
      <c r="D23" s="26"/>
      <c r="E23" s="13" t="s">
        <v>120</v>
      </c>
      <c r="F23" s="14" t="s">
        <v>497</v>
      </c>
    </row>
    <row r="24" spans="1:6" ht="15.75" thickBot="1">
      <c r="A24" s="23"/>
      <c r="B24" s="26"/>
      <c r="C24" s="23"/>
      <c r="D24" s="26"/>
      <c r="E24" s="13" t="s">
        <v>114</v>
      </c>
      <c r="F24" s="14" t="s">
        <v>494</v>
      </c>
    </row>
    <row r="25" spans="1:6" ht="15.75" thickBot="1">
      <c r="A25" s="23"/>
      <c r="B25" s="26"/>
      <c r="C25" s="23"/>
      <c r="D25" s="26"/>
      <c r="E25" s="13" t="s">
        <v>116</v>
      </c>
      <c r="F25" s="14" t="s">
        <v>495</v>
      </c>
    </row>
    <row r="26" spans="1:6" ht="15.75" thickBot="1">
      <c r="A26" s="23"/>
      <c r="B26" s="26"/>
      <c r="C26" s="23"/>
      <c r="D26" s="26"/>
      <c r="E26" s="13" t="s">
        <v>106</v>
      </c>
      <c r="F26" s="14" t="s">
        <v>490</v>
      </c>
    </row>
    <row r="27" spans="1:6" ht="30.75" thickBot="1">
      <c r="A27" s="24"/>
      <c r="B27" s="27"/>
      <c r="C27" s="24"/>
      <c r="D27" s="27"/>
      <c r="E27" s="13" t="s">
        <v>122</v>
      </c>
      <c r="F27" s="14" t="s">
        <v>498</v>
      </c>
    </row>
    <row r="28" spans="1:6" ht="30.75" thickBot="1">
      <c r="A28" s="22" t="s">
        <v>567</v>
      </c>
      <c r="B28" s="25" t="s">
        <v>427</v>
      </c>
      <c r="C28" s="22" t="s">
        <v>568</v>
      </c>
      <c r="D28" s="25" t="s">
        <v>569</v>
      </c>
      <c r="E28" s="13" t="s">
        <v>570</v>
      </c>
      <c r="F28" s="14" t="s">
        <v>506</v>
      </c>
    </row>
    <row r="29" spans="1:6" ht="15.75" thickBot="1">
      <c r="A29" s="23"/>
      <c r="B29" s="26"/>
      <c r="C29" s="24"/>
      <c r="D29" s="27"/>
      <c r="E29" s="13" t="s">
        <v>144</v>
      </c>
      <c r="F29" s="14" t="s">
        <v>507</v>
      </c>
    </row>
    <row r="30" spans="1:6" ht="15.75" thickBot="1">
      <c r="A30" s="23"/>
      <c r="B30" s="26"/>
      <c r="C30" s="22" t="s">
        <v>235</v>
      </c>
      <c r="D30" s="25" t="s">
        <v>448</v>
      </c>
      <c r="E30" s="13" t="s">
        <v>236</v>
      </c>
      <c r="F30" s="14" t="s">
        <v>549</v>
      </c>
    </row>
    <row r="31" spans="1:6" ht="15.75" thickBot="1">
      <c r="A31" s="23"/>
      <c r="B31" s="26"/>
      <c r="C31" s="23"/>
      <c r="D31" s="26"/>
      <c r="E31" s="13" t="s">
        <v>238</v>
      </c>
      <c r="F31" s="14" t="s">
        <v>550</v>
      </c>
    </row>
    <row r="32" spans="1:6" ht="15.75" thickBot="1">
      <c r="A32" s="23"/>
      <c r="B32" s="26"/>
      <c r="C32" s="23"/>
      <c r="D32" s="26"/>
      <c r="E32" s="13" t="s">
        <v>240</v>
      </c>
      <c r="F32" s="14" t="s">
        <v>551</v>
      </c>
    </row>
    <row r="33" spans="1:6" ht="15.75" thickBot="1">
      <c r="A33" s="23"/>
      <c r="B33" s="26"/>
      <c r="C33" s="23"/>
      <c r="D33" s="26"/>
      <c r="E33" s="13" t="s">
        <v>242</v>
      </c>
      <c r="F33" s="14" t="s">
        <v>552</v>
      </c>
    </row>
    <row r="34" spans="1:6" ht="15.75" thickBot="1">
      <c r="A34" s="23"/>
      <c r="B34" s="26"/>
      <c r="C34" s="23"/>
      <c r="D34" s="26"/>
      <c r="E34" s="13" t="s">
        <v>244</v>
      </c>
      <c r="F34" s="14" t="s">
        <v>553</v>
      </c>
    </row>
    <row r="35" spans="1:6" ht="15.75" thickBot="1">
      <c r="A35" s="23"/>
      <c r="B35" s="26"/>
      <c r="C35" s="23"/>
      <c r="D35" s="26"/>
      <c r="E35" s="13" t="s">
        <v>246</v>
      </c>
      <c r="F35" s="14" t="s">
        <v>554</v>
      </c>
    </row>
    <row r="36" spans="1:6" ht="15.75" thickBot="1">
      <c r="A36" s="23"/>
      <c r="B36" s="26"/>
      <c r="C36" s="24"/>
      <c r="D36" s="27"/>
      <c r="E36" s="13" t="s">
        <v>248</v>
      </c>
      <c r="F36" s="14" t="s">
        <v>555</v>
      </c>
    </row>
    <row r="37" spans="1:6" ht="15.75" thickBot="1">
      <c r="A37" s="23"/>
      <c r="B37" s="26"/>
      <c r="C37" s="22" t="s">
        <v>571</v>
      </c>
      <c r="D37" s="25" t="s">
        <v>429</v>
      </c>
      <c r="E37" s="13" t="s">
        <v>77</v>
      </c>
      <c r="F37" s="14" t="s">
        <v>477</v>
      </c>
    </row>
    <row r="38" spans="1:6" ht="15.75" thickBot="1">
      <c r="A38" s="23"/>
      <c r="B38" s="26"/>
      <c r="C38" s="23"/>
      <c r="D38" s="26"/>
      <c r="E38" s="13" t="s">
        <v>71</v>
      </c>
      <c r="F38" s="14" t="s">
        <v>474</v>
      </c>
    </row>
    <row r="39" spans="1:6" ht="15.75" thickBot="1">
      <c r="A39" s="23"/>
      <c r="B39" s="26"/>
      <c r="C39" s="23"/>
      <c r="D39" s="26"/>
      <c r="E39" s="13" t="s">
        <v>73</v>
      </c>
      <c r="F39" s="14" t="s">
        <v>475</v>
      </c>
    </row>
    <row r="40" spans="1:6" ht="15.75" thickBot="1">
      <c r="A40" s="23"/>
      <c r="B40" s="26"/>
      <c r="C40" s="24"/>
      <c r="D40" s="27"/>
      <c r="E40" s="13" t="s">
        <v>75</v>
      </c>
      <c r="F40" s="14" t="s">
        <v>476</v>
      </c>
    </row>
    <row r="41" spans="1:6" ht="15.75" thickBot="1">
      <c r="A41" s="23"/>
      <c r="B41" s="26"/>
      <c r="C41" s="22" t="s">
        <v>51</v>
      </c>
      <c r="D41" s="25" t="s">
        <v>428</v>
      </c>
      <c r="E41" s="13" t="s">
        <v>52</v>
      </c>
      <c r="F41" s="14" t="s">
        <v>465</v>
      </c>
    </row>
    <row r="42" spans="1:6" ht="15.75" thickBot="1">
      <c r="A42" s="23"/>
      <c r="B42" s="26"/>
      <c r="C42" s="23"/>
      <c r="D42" s="26"/>
      <c r="E42" s="13" t="s">
        <v>54</v>
      </c>
      <c r="F42" s="14" t="s">
        <v>466</v>
      </c>
    </row>
    <row r="43" spans="1:6" ht="15.75" thickBot="1">
      <c r="A43" s="23"/>
      <c r="B43" s="26"/>
      <c r="C43" s="23"/>
      <c r="D43" s="26"/>
      <c r="E43" s="13" t="s">
        <v>572</v>
      </c>
      <c r="F43" s="14" t="s">
        <v>467</v>
      </c>
    </row>
    <row r="44" spans="1:6" ht="15.75" thickBot="1">
      <c r="A44" s="23"/>
      <c r="B44" s="26"/>
      <c r="C44" s="23"/>
      <c r="D44" s="26"/>
      <c r="E44" s="13" t="s">
        <v>58</v>
      </c>
      <c r="F44" s="14" t="s">
        <v>468</v>
      </c>
    </row>
    <row r="45" spans="1:6" ht="15.75" thickBot="1">
      <c r="A45" s="23"/>
      <c r="B45" s="26"/>
      <c r="C45" s="23"/>
      <c r="D45" s="26"/>
      <c r="E45" s="13" t="s">
        <v>60</v>
      </c>
      <c r="F45" s="14" t="s">
        <v>469</v>
      </c>
    </row>
    <row r="46" spans="1:6" ht="15.75" thickBot="1">
      <c r="A46" s="23"/>
      <c r="B46" s="26"/>
      <c r="C46" s="23"/>
      <c r="D46" s="26"/>
      <c r="E46" s="13" t="s">
        <v>62</v>
      </c>
      <c r="F46" s="14" t="s">
        <v>470</v>
      </c>
    </row>
    <row r="47" spans="1:6" ht="15.75" thickBot="1">
      <c r="A47" s="23"/>
      <c r="B47" s="26"/>
      <c r="C47" s="23"/>
      <c r="D47" s="26"/>
      <c r="E47" s="13" t="s">
        <v>64</v>
      </c>
      <c r="F47" s="14" t="s">
        <v>471</v>
      </c>
    </row>
    <row r="48" spans="1:6" ht="15.75" thickBot="1">
      <c r="A48" s="23"/>
      <c r="B48" s="26"/>
      <c r="C48" s="23"/>
      <c r="D48" s="26"/>
      <c r="E48" s="13" t="s">
        <v>66</v>
      </c>
      <c r="F48" s="14" t="s">
        <v>472</v>
      </c>
    </row>
    <row r="49" spans="1:6" ht="15.75" thickBot="1">
      <c r="A49" s="24"/>
      <c r="B49" s="27"/>
      <c r="C49" s="24"/>
      <c r="D49" s="27"/>
      <c r="E49" s="13" t="s">
        <v>68</v>
      </c>
      <c r="F49" s="14" t="s">
        <v>473</v>
      </c>
    </row>
    <row r="50" spans="1:6" ht="30.75" thickBot="1">
      <c r="A50" s="22" t="s">
        <v>573</v>
      </c>
      <c r="B50" s="25" t="s">
        <v>430</v>
      </c>
      <c r="C50" s="22" t="s">
        <v>206</v>
      </c>
      <c r="D50" s="25" t="s">
        <v>439</v>
      </c>
      <c r="E50" s="13" t="s">
        <v>574</v>
      </c>
      <c r="F50" s="14" t="s">
        <v>536</v>
      </c>
    </row>
    <row r="51" spans="1:6" ht="15.75" thickBot="1">
      <c r="A51" s="23"/>
      <c r="B51" s="26"/>
      <c r="C51" s="23"/>
      <c r="D51" s="26"/>
      <c r="E51" s="13" t="s">
        <v>209</v>
      </c>
      <c r="F51" s="14" t="s">
        <v>537</v>
      </c>
    </row>
    <row r="52" spans="1:6" ht="15.75" thickBot="1">
      <c r="A52" s="23"/>
      <c r="B52" s="26"/>
      <c r="C52" s="23"/>
      <c r="D52" s="26"/>
      <c r="E52" s="13" t="s">
        <v>211</v>
      </c>
      <c r="F52" s="14" t="s">
        <v>538</v>
      </c>
    </row>
    <row r="53" spans="1:6" ht="15.75" thickBot="1">
      <c r="A53" s="23"/>
      <c r="B53" s="26"/>
      <c r="C53" s="23"/>
      <c r="D53" s="26"/>
      <c r="E53" s="13" t="s">
        <v>213</v>
      </c>
      <c r="F53" s="14" t="s">
        <v>539</v>
      </c>
    </row>
    <row r="54" spans="1:6" ht="15.75" thickBot="1">
      <c r="A54" s="23"/>
      <c r="B54" s="26"/>
      <c r="C54" s="23"/>
      <c r="D54" s="26"/>
      <c r="E54" s="13" t="s">
        <v>225</v>
      </c>
      <c r="F54" s="14" t="s">
        <v>545</v>
      </c>
    </row>
    <row r="55" spans="1:6" ht="15.75" thickBot="1">
      <c r="A55" s="23"/>
      <c r="B55" s="26"/>
      <c r="C55" s="23"/>
      <c r="D55" s="26"/>
      <c r="E55" s="13" t="s">
        <v>215</v>
      </c>
      <c r="F55" s="14" t="s">
        <v>540</v>
      </c>
    </row>
    <row r="56" spans="1:6" ht="15.75" thickBot="1">
      <c r="A56" s="23"/>
      <c r="B56" s="26"/>
      <c r="C56" s="23"/>
      <c r="D56" s="26"/>
      <c r="E56" s="13" t="s">
        <v>217</v>
      </c>
      <c r="F56" s="14" t="s">
        <v>541</v>
      </c>
    </row>
    <row r="57" spans="1:6" ht="15.75" thickBot="1">
      <c r="A57" s="23"/>
      <c r="B57" s="26"/>
      <c r="C57" s="23"/>
      <c r="D57" s="26"/>
      <c r="E57" s="13" t="s">
        <v>219</v>
      </c>
      <c r="F57" s="14" t="s">
        <v>542</v>
      </c>
    </row>
    <row r="58" spans="1:6" ht="15.75" thickBot="1">
      <c r="A58" s="23"/>
      <c r="B58" s="26"/>
      <c r="C58" s="23"/>
      <c r="D58" s="26"/>
      <c r="E58" s="13" t="s">
        <v>221</v>
      </c>
      <c r="F58" s="14" t="s">
        <v>543</v>
      </c>
    </row>
    <row r="59" spans="1:6" ht="15.75" thickBot="1">
      <c r="A59" s="23"/>
      <c r="B59" s="26"/>
      <c r="C59" s="24"/>
      <c r="D59" s="27"/>
      <c r="E59" s="13" t="s">
        <v>223</v>
      </c>
      <c r="F59" s="14" t="s">
        <v>544</v>
      </c>
    </row>
    <row r="60" spans="1:6" ht="15.75" thickBot="1">
      <c r="A60" s="23"/>
      <c r="B60" s="26"/>
      <c r="C60" s="22" t="s">
        <v>227</v>
      </c>
      <c r="D60" s="25" t="s">
        <v>446</v>
      </c>
      <c r="E60" s="13" t="s">
        <v>228</v>
      </c>
      <c r="F60" s="14" t="s">
        <v>546</v>
      </c>
    </row>
    <row r="61" spans="1:6" ht="15.75" thickBot="1">
      <c r="A61" s="23"/>
      <c r="B61" s="26"/>
      <c r="C61" s="24"/>
      <c r="D61" s="27"/>
      <c r="E61" s="13" t="s">
        <v>230</v>
      </c>
      <c r="F61" s="14" t="s">
        <v>547</v>
      </c>
    </row>
    <row r="62" spans="1:6" ht="30.75" thickBot="1">
      <c r="A62" s="23"/>
      <c r="B62" s="26"/>
      <c r="C62" s="22" t="s">
        <v>124</v>
      </c>
      <c r="D62" s="25" t="s">
        <v>435</v>
      </c>
      <c r="E62" s="13" t="s">
        <v>125</v>
      </c>
      <c r="F62" s="14" t="s">
        <v>499</v>
      </c>
    </row>
    <row r="63" spans="1:6" ht="15.75" thickBot="1">
      <c r="A63" s="23"/>
      <c r="B63" s="26"/>
      <c r="C63" s="23"/>
      <c r="D63" s="26"/>
      <c r="E63" s="13" t="s">
        <v>127</v>
      </c>
      <c r="F63" s="14" t="s">
        <v>500</v>
      </c>
    </row>
    <row r="64" spans="1:6" ht="15.75" thickBot="1">
      <c r="A64" s="23"/>
      <c r="B64" s="26"/>
      <c r="C64" s="23"/>
      <c r="D64" s="26"/>
      <c r="E64" s="13" t="s">
        <v>129</v>
      </c>
      <c r="F64" s="14" t="s">
        <v>501</v>
      </c>
    </row>
    <row r="65" spans="1:6" ht="15.75" thickBot="1">
      <c r="A65" s="23"/>
      <c r="B65" s="26"/>
      <c r="C65" s="23"/>
      <c r="D65" s="26"/>
      <c r="E65" s="13" t="s">
        <v>131</v>
      </c>
      <c r="F65" s="14" t="s">
        <v>502</v>
      </c>
    </row>
    <row r="66" spans="1:6" ht="15.75" thickBot="1">
      <c r="A66" s="23"/>
      <c r="B66" s="26"/>
      <c r="C66" s="24"/>
      <c r="D66" s="27"/>
      <c r="E66" s="13" t="s">
        <v>133</v>
      </c>
      <c r="F66" s="14" t="s">
        <v>503</v>
      </c>
    </row>
    <row r="67" spans="1:6" ht="15.75" thickBot="1">
      <c r="A67" s="23"/>
      <c r="B67" s="26"/>
      <c r="C67" s="22" t="s">
        <v>79</v>
      </c>
      <c r="D67" s="25" t="s">
        <v>431</v>
      </c>
      <c r="E67" s="13" t="s">
        <v>80</v>
      </c>
      <c r="F67" s="14" t="s">
        <v>478</v>
      </c>
    </row>
    <row r="68" spans="1:6" ht="15.75" thickBot="1">
      <c r="A68" s="23"/>
      <c r="B68" s="26"/>
      <c r="C68" s="23"/>
      <c r="D68" s="26"/>
      <c r="E68" s="13" t="s">
        <v>82</v>
      </c>
      <c r="F68" s="14" t="s">
        <v>479</v>
      </c>
    </row>
    <row r="69" spans="1:6" ht="15.75" thickBot="1">
      <c r="A69" s="23"/>
      <c r="B69" s="26"/>
      <c r="C69" s="23"/>
      <c r="D69" s="26"/>
      <c r="E69" s="13" t="s">
        <v>84</v>
      </c>
      <c r="F69" s="14" t="s">
        <v>480</v>
      </c>
    </row>
    <row r="70" spans="1:6" ht="15.75" thickBot="1">
      <c r="A70" s="23"/>
      <c r="B70" s="26"/>
      <c r="C70" s="23"/>
      <c r="D70" s="26"/>
      <c r="E70" s="13" t="s">
        <v>86</v>
      </c>
      <c r="F70" s="14" t="s">
        <v>481</v>
      </c>
    </row>
    <row r="71" spans="1:6" ht="15.75" thickBot="1">
      <c r="A71" s="24"/>
      <c r="B71" s="27"/>
      <c r="C71" s="24"/>
      <c r="D71" s="27"/>
      <c r="E71" s="13" t="s">
        <v>88</v>
      </c>
      <c r="F71" s="14" t="s">
        <v>482</v>
      </c>
    </row>
    <row r="72" spans="1:6" ht="15.75" thickBot="1">
      <c r="A72" s="22" t="s">
        <v>575</v>
      </c>
      <c r="B72" s="25" t="s">
        <v>423</v>
      </c>
      <c r="C72" s="22" t="s">
        <v>13</v>
      </c>
      <c r="D72" s="25" t="s">
        <v>424</v>
      </c>
      <c r="E72" s="13" t="s">
        <v>14</v>
      </c>
      <c r="F72" s="14" t="s">
        <v>449</v>
      </c>
    </row>
    <row r="73" spans="1:6" ht="15.75" thickBot="1">
      <c r="A73" s="23"/>
      <c r="B73" s="26"/>
      <c r="C73" s="23"/>
      <c r="D73" s="26"/>
      <c r="E73" s="13" t="s">
        <v>16</v>
      </c>
      <c r="F73" s="14" t="s">
        <v>450</v>
      </c>
    </row>
    <row r="74" spans="1:6" ht="15.75" thickBot="1">
      <c r="A74" s="23"/>
      <c r="B74" s="26"/>
      <c r="C74" s="23"/>
      <c r="D74" s="26"/>
      <c r="E74" s="13" t="s">
        <v>18</v>
      </c>
      <c r="F74" s="14" t="s">
        <v>451</v>
      </c>
    </row>
    <row r="75" spans="1:6" ht="15.75" thickBot="1">
      <c r="A75" s="23"/>
      <c r="B75" s="26"/>
      <c r="C75" s="24"/>
      <c r="D75" s="27"/>
      <c r="E75" s="13" t="s">
        <v>20</v>
      </c>
      <c r="F75" s="14" t="s">
        <v>452</v>
      </c>
    </row>
    <row r="76" spans="1:6" ht="15.75" thickBot="1">
      <c r="A76" s="23"/>
      <c r="B76" s="26"/>
      <c r="C76" s="22" t="s">
        <v>135</v>
      </c>
      <c r="D76" s="25" t="s">
        <v>436</v>
      </c>
      <c r="E76" s="13" t="s">
        <v>138</v>
      </c>
      <c r="F76" s="14" t="s">
        <v>505</v>
      </c>
    </row>
    <row r="77" spans="1:6" ht="15.75" thickBot="1">
      <c r="A77" s="23"/>
      <c r="B77" s="26"/>
      <c r="C77" s="24"/>
      <c r="D77" s="27"/>
      <c r="E77" s="13" t="s">
        <v>136</v>
      </c>
      <c r="F77" s="14" t="s">
        <v>504</v>
      </c>
    </row>
    <row r="78" spans="1:6" ht="15.75" thickBot="1">
      <c r="A78" s="23"/>
      <c r="B78" s="26"/>
      <c r="C78" s="22" t="s">
        <v>40</v>
      </c>
      <c r="D78" s="25" t="s">
        <v>426</v>
      </c>
      <c r="E78" s="13" t="s">
        <v>41</v>
      </c>
      <c r="F78" s="14" t="s">
        <v>460</v>
      </c>
    </row>
    <row r="79" spans="1:6" ht="15.75" thickBot="1">
      <c r="A79" s="23"/>
      <c r="B79" s="26"/>
      <c r="C79" s="23"/>
      <c r="D79" s="26"/>
      <c r="E79" s="13" t="s">
        <v>43</v>
      </c>
      <c r="F79" s="14" t="s">
        <v>461</v>
      </c>
    </row>
    <row r="80" spans="1:6" ht="15.75" thickBot="1">
      <c r="A80" s="23"/>
      <c r="B80" s="26"/>
      <c r="C80" s="23"/>
      <c r="D80" s="26"/>
      <c r="E80" s="13" t="s">
        <v>45</v>
      </c>
      <c r="F80" s="14" t="s">
        <v>462</v>
      </c>
    </row>
    <row r="81" spans="1:6" ht="15.75" thickBot="1">
      <c r="A81" s="23"/>
      <c r="B81" s="26"/>
      <c r="C81" s="23"/>
      <c r="D81" s="26"/>
      <c r="E81" s="13" t="s">
        <v>47</v>
      </c>
      <c r="F81" s="14" t="s">
        <v>463</v>
      </c>
    </row>
    <row r="82" spans="1:6" ht="15.75" thickBot="1">
      <c r="A82" s="23"/>
      <c r="B82" s="26"/>
      <c r="C82" s="24"/>
      <c r="D82" s="27"/>
      <c r="E82" s="13" t="s">
        <v>49</v>
      </c>
      <c r="F82" s="14" t="s">
        <v>464</v>
      </c>
    </row>
    <row r="83" spans="1:6" ht="15.75" thickBot="1">
      <c r="A83" s="23"/>
      <c r="B83" s="26"/>
      <c r="C83" s="22" t="s">
        <v>163</v>
      </c>
      <c r="D83" s="25" t="s">
        <v>442</v>
      </c>
      <c r="E83" s="13" t="s">
        <v>168</v>
      </c>
      <c r="F83" s="14" t="s">
        <v>518</v>
      </c>
    </row>
    <row r="84" spans="1:6" ht="15.75" thickBot="1">
      <c r="A84" s="23"/>
      <c r="B84" s="26"/>
      <c r="C84" s="23"/>
      <c r="D84" s="26"/>
      <c r="E84" s="13" t="s">
        <v>170</v>
      </c>
      <c r="F84" s="14" t="s">
        <v>519</v>
      </c>
    </row>
    <row r="85" spans="1:6" ht="15.75" thickBot="1">
      <c r="A85" s="23"/>
      <c r="B85" s="26"/>
      <c r="C85" s="23"/>
      <c r="D85" s="26"/>
      <c r="E85" s="13" t="s">
        <v>172</v>
      </c>
      <c r="F85" s="14" t="s">
        <v>520</v>
      </c>
    </row>
    <row r="86" spans="1:6" ht="15.75" thickBot="1">
      <c r="A86" s="23"/>
      <c r="B86" s="26"/>
      <c r="C86" s="23"/>
      <c r="D86" s="26"/>
      <c r="E86" s="13" t="s">
        <v>164</v>
      </c>
      <c r="F86" s="14" t="s">
        <v>516</v>
      </c>
    </row>
    <row r="87" spans="1:6" ht="15.75" thickBot="1">
      <c r="A87" s="23"/>
      <c r="B87" s="26"/>
      <c r="C87" s="23"/>
      <c r="D87" s="26"/>
      <c r="E87" s="13" t="s">
        <v>166</v>
      </c>
      <c r="F87" s="14" t="s">
        <v>517</v>
      </c>
    </row>
    <row r="88" spans="1:6" ht="30.75" thickBot="1">
      <c r="A88" s="23"/>
      <c r="B88" s="26"/>
      <c r="C88" s="24"/>
      <c r="D88" s="27"/>
      <c r="E88" s="13" t="s">
        <v>174</v>
      </c>
      <c r="F88" s="14" t="s">
        <v>521</v>
      </c>
    </row>
    <row r="89" spans="1:6" ht="15.75" thickBot="1">
      <c r="A89" s="23"/>
      <c r="B89" s="26"/>
      <c r="C89" s="22" t="s">
        <v>24</v>
      </c>
      <c r="D89" s="25" t="s">
        <v>425</v>
      </c>
      <c r="E89" s="13" t="s">
        <v>25</v>
      </c>
      <c r="F89" s="14" t="s">
        <v>453</v>
      </c>
    </row>
    <row r="90" spans="1:6" ht="15.75" thickBot="1">
      <c r="A90" s="23"/>
      <c r="B90" s="26"/>
      <c r="C90" s="24"/>
      <c r="D90" s="27"/>
      <c r="E90" s="13" t="s">
        <v>27</v>
      </c>
      <c r="F90" s="14" t="s">
        <v>454</v>
      </c>
    </row>
    <row r="91" spans="1:6" ht="15.75" thickBot="1">
      <c r="A91" s="23"/>
      <c r="B91" s="26"/>
      <c r="C91" s="22" t="s">
        <v>29</v>
      </c>
      <c r="D91" s="25" t="s">
        <v>438</v>
      </c>
      <c r="E91" s="13" t="s">
        <v>30</v>
      </c>
      <c r="F91" s="14" t="s">
        <v>455</v>
      </c>
    </row>
    <row r="92" spans="1:6" ht="15.75" thickBot="1">
      <c r="A92" s="23"/>
      <c r="B92" s="26"/>
      <c r="C92" s="23"/>
      <c r="D92" s="26"/>
      <c r="E92" s="13" t="s">
        <v>36</v>
      </c>
      <c r="F92" s="14" t="s">
        <v>458</v>
      </c>
    </row>
    <row r="93" spans="1:6" ht="15.75" thickBot="1">
      <c r="A93" s="23"/>
      <c r="B93" s="26"/>
      <c r="C93" s="23"/>
      <c r="D93" s="26"/>
      <c r="E93" s="13" t="s">
        <v>32</v>
      </c>
      <c r="F93" s="14" t="s">
        <v>456</v>
      </c>
    </row>
    <row r="94" spans="1:6" ht="15.75" thickBot="1">
      <c r="A94" s="23"/>
      <c r="B94" s="26"/>
      <c r="C94" s="23"/>
      <c r="D94" s="26"/>
      <c r="E94" s="13" t="s">
        <v>38</v>
      </c>
      <c r="F94" s="14" t="s">
        <v>459</v>
      </c>
    </row>
    <row r="95" spans="1:6" ht="30.75" thickBot="1">
      <c r="A95" s="24"/>
      <c r="B95" s="27"/>
      <c r="C95" s="24"/>
      <c r="D95" s="27"/>
      <c r="E95" s="13" t="s">
        <v>576</v>
      </c>
      <c r="F95" s="14" t="s">
        <v>457</v>
      </c>
    </row>
    <row r="96" spans="1:6" ht="15.75" thickBot="1">
      <c r="A96" s="22" t="s">
        <v>577</v>
      </c>
      <c r="B96" s="25" t="s">
        <v>443</v>
      </c>
      <c r="C96" s="22" t="s">
        <v>187</v>
      </c>
      <c r="D96" s="25" t="s">
        <v>445</v>
      </c>
      <c r="E96" s="13" t="s">
        <v>188</v>
      </c>
      <c r="F96" s="14" t="s">
        <v>527</v>
      </c>
    </row>
    <row r="97" spans="1:6" ht="15.75" thickBot="1">
      <c r="A97" s="23"/>
      <c r="B97" s="26"/>
      <c r="C97" s="23"/>
      <c r="D97" s="26"/>
      <c r="E97" s="13" t="s">
        <v>190</v>
      </c>
      <c r="F97" s="14" t="s">
        <v>528</v>
      </c>
    </row>
    <row r="98" spans="1:6" ht="15.75" thickBot="1">
      <c r="A98" s="23"/>
      <c r="B98" s="26"/>
      <c r="C98" s="23"/>
      <c r="D98" s="26"/>
      <c r="E98" s="13" t="s">
        <v>192</v>
      </c>
      <c r="F98" s="14" t="s">
        <v>529</v>
      </c>
    </row>
    <row r="99" spans="1:6" ht="15.75" thickBot="1">
      <c r="A99" s="23"/>
      <c r="B99" s="26"/>
      <c r="C99" s="23"/>
      <c r="D99" s="26"/>
      <c r="E99" s="13" t="s">
        <v>194</v>
      </c>
      <c r="F99" s="14" t="s">
        <v>530</v>
      </c>
    </row>
    <row r="100" spans="1:6" ht="15.75" thickBot="1">
      <c r="A100" s="23"/>
      <c r="B100" s="26"/>
      <c r="C100" s="23"/>
      <c r="D100" s="26"/>
      <c r="E100" s="13" t="s">
        <v>196</v>
      </c>
      <c r="F100" s="14" t="s">
        <v>531</v>
      </c>
    </row>
    <row r="101" spans="1:6" ht="15.75" thickBot="1">
      <c r="A101" s="23"/>
      <c r="B101" s="26"/>
      <c r="C101" s="23"/>
      <c r="D101" s="26"/>
      <c r="E101" s="13" t="s">
        <v>198</v>
      </c>
      <c r="F101" s="14" t="s">
        <v>532</v>
      </c>
    </row>
    <row r="102" spans="1:6" ht="15.75" thickBot="1">
      <c r="A102" s="23"/>
      <c r="B102" s="26"/>
      <c r="C102" s="23"/>
      <c r="D102" s="26"/>
      <c r="E102" s="13" t="s">
        <v>200</v>
      </c>
      <c r="F102" s="14" t="s">
        <v>533</v>
      </c>
    </row>
    <row r="103" spans="1:6" ht="15.75" thickBot="1">
      <c r="A103" s="23"/>
      <c r="B103" s="26"/>
      <c r="C103" s="23"/>
      <c r="D103" s="26"/>
      <c r="E103" s="13" t="s">
        <v>202</v>
      </c>
      <c r="F103" s="14" t="s">
        <v>534</v>
      </c>
    </row>
    <row r="104" spans="1:6" ht="15.75" thickBot="1">
      <c r="A104" s="23"/>
      <c r="B104" s="26"/>
      <c r="C104" s="24"/>
      <c r="D104" s="27"/>
      <c r="E104" s="13" t="s">
        <v>204</v>
      </c>
      <c r="F104" s="14" t="s">
        <v>535</v>
      </c>
    </row>
    <row r="105" spans="1:6" ht="15.75" thickBot="1">
      <c r="A105" s="23"/>
      <c r="B105" s="26"/>
      <c r="C105" s="22" t="s">
        <v>176</v>
      </c>
      <c r="D105" s="25" t="s">
        <v>444</v>
      </c>
      <c r="E105" s="13" t="s">
        <v>177</v>
      </c>
      <c r="F105" s="14" t="s">
        <v>522</v>
      </c>
    </row>
    <row r="106" spans="1:6" ht="15.75" thickBot="1">
      <c r="A106" s="23"/>
      <c r="B106" s="26"/>
      <c r="C106" s="23"/>
      <c r="D106" s="26"/>
      <c r="E106" s="13" t="s">
        <v>179</v>
      </c>
      <c r="F106" s="14" t="s">
        <v>523</v>
      </c>
    </row>
    <row r="107" spans="1:6" ht="15.75" thickBot="1">
      <c r="A107" s="23"/>
      <c r="B107" s="26"/>
      <c r="C107" s="23"/>
      <c r="D107" s="26"/>
      <c r="E107" s="13" t="s">
        <v>181</v>
      </c>
      <c r="F107" s="14" t="s">
        <v>524</v>
      </c>
    </row>
    <row r="108" spans="1:6" ht="15.75" thickBot="1">
      <c r="A108" s="23"/>
      <c r="B108" s="26"/>
      <c r="C108" s="23"/>
      <c r="D108" s="26"/>
      <c r="E108" s="13" t="s">
        <v>183</v>
      </c>
      <c r="F108" s="14" t="s">
        <v>525</v>
      </c>
    </row>
    <row r="109" spans="1:6" ht="15.75" thickBot="1">
      <c r="A109" s="24"/>
      <c r="B109" s="27"/>
      <c r="C109" s="24"/>
      <c r="D109" s="27"/>
      <c r="E109" s="13" t="s">
        <v>185</v>
      </c>
      <c r="F109" s="14" t="s">
        <v>526</v>
      </c>
    </row>
  </sheetData>
  <mergeCells count="51">
    <mergeCell ref="A96:A109"/>
    <mergeCell ref="B96:B109"/>
    <mergeCell ref="C96:C104"/>
    <mergeCell ref="D96:D104"/>
    <mergeCell ref="C105:C109"/>
    <mergeCell ref="D105:D109"/>
    <mergeCell ref="A72:A95"/>
    <mergeCell ref="B72:B95"/>
    <mergeCell ref="C72:C75"/>
    <mergeCell ref="D72:D75"/>
    <mergeCell ref="C76:C77"/>
    <mergeCell ref="D76:D77"/>
    <mergeCell ref="C78:C82"/>
    <mergeCell ref="D78:D82"/>
    <mergeCell ref="C83:C88"/>
    <mergeCell ref="D83:D88"/>
    <mergeCell ref="C89:C90"/>
    <mergeCell ref="D89:D90"/>
    <mergeCell ref="C91:C95"/>
    <mergeCell ref="D91:D95"/>
    <mergeCell ref="A50:A71"/>
    <mergeCell ref="B50:B71"/>
    <mergeCell ref="C50:C59"/>
    <mergeCell ref="D50:D59"/>
    <mergeCell ref="C60:C61"/>
    <mergeCell ref="D60:D61"/>
    <mergeCell ref="C62:C66"/>
    <mergeCell ref="D62:D66"/>
    <mergeCell ref="C67:C71"/>
    <mergeCell ref="D67:D71"/>
    <mergeCell ref="A28:A49"/>
    <mergeCell ref="B28:B49"/>
    <mergeCell ref="C28:C29"/>
    <mergeCell ref="D28:D29"/>
    <mergeCell ref="C30:C36"/>
    <mergeCell ref="D30:D36"/>
    <mergeCell ref="C37:C40"/>
    <mergeCell ref="D37:D40"/>
    <mergeCell ref="C41:C49"/>
    <mergeCell ref="D41:D49"/>
    <mergeCell ref="A1:B1"/>
    <mergeCell ref="C1:D1"/>
    <mergeCell ref="E1:F1"/>
    <mergeCell ref="A3:A27"/>
    <mergeCell ref="B3:B27"/>
    <mergeCell ref="C3:C10"/>
    <mergeCell ref="D3:D10"/>
    <mergeCell ref="C12:C15"/>
    <mergeCell ref="D12:D15"/>
    <mergeCell ref="C16:C27"/>
    <mergeCell ref="D16:D27"/>
  </mergeCells>
  <hyperlinks>
    <hyperlink ref="A2" r:id="rId1" tooltip="Gruppi di regioni italiane" display="https://it.wikipedia.org/wiki/Gruppi_di_regioni_italiane" xr:uid="{00000000-0004-0000-0400-000000000000}"/>
    <hyperlink ref="C2" r:id="rId2" tooltip="Regioni d'Italia" display="https://it.wikipedia.org/wiki/Regioni_d%27Italia" xr:uid="{00000000-0004-0000-0400-000001000000}"/>
    <hyperlink ref="A3" r:id="rId3" tooltip="Italia nord-occidentale" display="https://it.wikipedia.org/wiki/Italia_nord-occidentale" xr:uid="{00000000-0004-0000-0400-000002000000}"/>
    <hyperlink ref="C3" r:id="rId4" tooltip="Piemonte" display="https://it.wikipedia.org/wiki/Piemonte" xr:uid="{00000000-0004-0000-0400-000003000000}"/>
    <hyperlink ref="E3" r:id="rId5" tooltip="Città metropolitana di Torino" display="https://it.wikipedia.org/wiki/Citt%C3%A0_metropolitana_di_Torino" xr:uid="{00000000-0004-0000-0400-000004000000}"/>
    <hyperlink ref="E4" r:id="rId6" tooltip="Provincia di Vercelli" display="https://it.wikipedia.org/wiki/Provincia_di_Vercelli" xr:uid="{00000000-0004-0000-0400-000005000000}"/>
    <hyperlink ref="E5" r:id="rId7" tooltip="Provincia di Biella" display="https://it.wikipedia.org/wiki/Provincia_di_Biella" xr:uid="{00000000-0004-0000-0400-000006000000}"/>
    <hyperlink ref="E6" r:id="rId8" tooltip="Provincia del Verbano Cusio Ossola" display="https://it.wikipedia.org/wiki/Provincia_del_Verbano_Cusio_Ossola" xr:uid="{00000000-0004-0000-0400-000007000000}"/>
    <hyperlink ref="E7" r:id="rId9" tooltip="Provincia di Novara" display="https://it.wikipedia.org/wiki/Provincia_di_Novara" xr:uid="{00000000-0004-0000-0400-000008000000}"/>
    <hyperlink ref="E8" r:id="rId10" tooltip="Provincia di Cuneo" display="https://it.wikipedia.org/wiki/Provincia_di_Cuneo" xr:uid="{00000000-0004-0000-0400-000009000000}"/>
    <hyperlink ref="E9" r:id="rId11" tooltip="Provincia di Asti" display="https://it.wikipedia.org/wiki/Provincia_di_Asti" xr:uid="{00000000-0004-0000-0400-00000A000000}"/>
    <hyperlink ref="E10" r:id="rId12" tooltip="Provincia di Alessandria" display="https://it.wikipedia.org/wiki/Provincia_di_Alessandria" xr:uid="{00000000-0004-0000-0400-00000B000000}"/>
    <hyperlink ref="C11" r:id="rId13" tooltip="Valle d'Aosta" display="https://it.wikipedia.org/wiki/Valle_d%27Aosta" xr:uid="{00000000-0004-0000-0400-00000C000000}"/>
    <hyperlink ref="E11" r:id="rId14" tooltip="Provincia di Aosta" display="https://it.wikipedia.org/wiki/Provincia_di_Aosta" xr:uid="{00000000-0004-0000-0400-00000D000000}"/>
    <hyperlink ref="C12" r:id="rId15" tooltip="Liguria" display="https://it.wikipedia.org/wiki/Liguria" xr:uid="{00000000-0004-0000-0400-00000E000000}"/>
    <hyperlink ref="E12" r:id="rId16" tooltip="Provincia di Imperia" display="https://it.wikipedia.org/wiki/Provincia_di_Imperia" xr:uid="{00000000-0004-0000-0400-00000F000000}"/>
    <hyperlink ref="E13" r:id="rId17" tooltip="Provincia di Savona" display="https://it.wikipedia.org/wiki/Provincia_di_Savona" xr:uid="{00000000-0004-0000-0400-000010000000}"/>
    <hyperlink ref="E14" r:id="rId18" tooltip="Città metropolitana di Genova" display="https://it.wikipedia.org/wiki/Citt%C3%A0_metropolitana_di_Genova" xr:uid="{00000000-0004-0000-0400-000011000000}"/>
    <hyperlink ref="E15" r:id="rId19" tooltip="Provincia della Spezia" display="https://it.wikipedia.org/wiki/Provincia_della_Spezia" xr:uid="{00000000-0004-0000-0400-000012000000}"/>
    <hyperlink ref="C16" r:id="rId20" tooltip="Lombardia" display="https://it.wikipedia.org/wiki/Lombardia" xr:uid="{00000000-0004-0000-0400-000013000000}"/>
    <hyperlink ref="E16" r:id="rId21" tooltip="Provincia di Varese" display="https://it.wikipedia.org/wiki/Provincia_di_Varese" xr:uid="{00000000-0004-0000-0400-000014000000}"/>
    <hyperlink ref="E17" r:id="rId22" tooltip="Provincia di Como" display="https://it.wikipedia.org/wiki/Provincia_di_Como" xr:uid="{00000000-0004-0000-0400-000015000000}"/>
    <hyperlink ref="E18" r:id="rId23" tooltip="Provincia di Lecco" display="https://it.wikipedia.org/wiki/Provincia_di_Lecco" xr:uid="{00000000-0004-0000-0400-000016000000}"/>
    <hyperlink ref="E19" r:id="rId24" tooltip="Provincia di Sondrio" display="https://it.wikipedia.org/wiki/Provincia_di_Sondrio" xr:uid="{00000000-0004-0000-0400-000017000000}"/>
    <hyperlink ref="E20" r:id="rId25" tooltip="Provincia di Bergamo" display="https://it.wikipedia.org/wiki/Provincia_di_Bergamo" xr:uid="{00000000-0004-0000-0400-000018000000}"/>
    <hyperlink ref="E21" r:id="rId26" tooltip="Provincia di Brescia" display="https://it.wikipedia.org/wiki/Provincia_di_Brescia" xr:uid="{00000000-0004-0000-0400-000019000000}"/>
    <hyperlink ref="E22" r:id="rId27" tooltip="Provincia di Pavia" display="https://it.wikipedia.org/wiki/Provincia_di_Pavia" xr:uid="{00000000-0004-0000-0400-00001A000000}"/>
    <hyperlink ref="E23" r:id="rId28" tooltip="Provincia di Lodi" display="https://it.wikipedia.org/wiki/Provincia_di_Lodi" xr:uid="{00000000-0004-0000-0400-00001B000000}"/>
    <hyperlink ref="E24" r:id="rId29" tooltip="Provincia di Cremona" display="https://it.wikipedia.org/wiki/Provincia_di_Cremona" xr:uid="{00000000-0004-0000-0400-00001C000000}"/>
    <hyperlink ref="E25" r:id="rId30" tooltip="Provincia di Mantova" display="https://it.wikipedia.org/wiki/Provincia_di_Mantova" xr:uid="{00000000-0004-0000-0400-00001D000000}"/>
    <hyperlink ref="E26" r:id="rId31" tooltip="Città metropolitana di Milano" display="https://it.wikipedia.org/wiki/Citt%C3%A0_metropolitana_di_Milano" xr:uid="{00000000-0004-0000-0400-00001E000000}"/>
    <hyperlink ref="E27" r:id="rId32" tooltip="Provincia di Monza" display="https://it.wikipedia.org/wiki/Provincia_di_Monza" xr:uid="{00000000-0004-0000-0400-00001F000000}"/>
    <hyperlink ref="A28" r:id="rId33" tooltip="Italia nord-orientale" display="https://it.wikipedia.org/wiki/Italia_nord-orientale" xr:uid="{00000000-0004-0000-0400-000020000000}"/>
    <hyperlink ref="C28" r:id="rId34" tooltip="Trentino-Alto Adige" display="https://it.wikipedia.org/wiki/Trentino-Alto_Adige" xr:uid="{00000000-0004-0000-0400-000021000000}"/>
    <hyperlink ref="E28" r:id="rId35" tooltip="Provincia autonoma di Bolzano" display="https://it.wikipedia.org/wiki/Provincia_autonoma_di_Bolzano" xr:uid="{00000000-0004-0000-0400-000022000000}"/>
    <hyperlink ref="E29" r:id="rId36" tooltip="Provincia autonoma di Trento" display="https://it.wikipedia.org/wiki/Provincia_autonoma_di_Trento" xr:uid="{00000000-0004-0000-0400-000023000000}"/>
    <hyperlink ref="C30" r:id="rId37" tooltip="Veneto" display="https://it.wikipedia.org/wiki/Veneto" xr:uid="{00000000-0004-0000-0400-000024000000}"/>
    <hyperlink ref="E30" r:id="rId38" tooltip="Provincia di Verona" display="https://it.wikipedia.org/wiki/Provincia_di_Verona" xr:uid="{00000000-0004-0000-0400-000025000000}"/>
    <hyperlink ref="E31" r:id="rId39" tooltip="Provincia di Vicenza" display="https://it.wikipedia.org/wiki/Provincia_di_Vicenza" xr:uid="{00000000-0004-0000-0400-000026000000}"/>
    <hyperlink ref="E32" r:id="rId40" tooltip="Provincia di Belluno" display="https://it.wikipedia.org/wiki/Provincia_di_Belluno" xr:uid="{00000000-0004-0000-0400-000027000000}"/>
    <hyperlink ref="E33" r:id="rId41" tooltip="Provincia di Treviso" display="https://it.wikipedia.org/wiki/Provincia_di_Treviso" xr:uid="{00000000-0004-0000-0400-000028000000}"/>
    <hyperlink ref="E34" r:id="rId42" tooltip="Provincia di Venezia" display="https://it.wikipedia.org/wiki/Provincia_di_Venezia" xr:uid="{00000000-0004-0000-0400-000029000000}"/>
    <hyperlink ref="E35" r:id="rId43" tooltip="Provincia di Padova" display="https://it.wikipedia.org/wiki/Provincia_di_Padova" xr:uid="{00000000-0004-0000-0400-00002A000000}"/>
    <hyperlink ref="E36" r:id="rId44" tooltip="Provincia di Rovigo" display="https://it.wikipedia.org/wiki/Provincia_di_Rovigo" xr:uid="{00000000-0004-0000-0400-00002B000000}"/>
    <hyperlink ref="C37" r:id="rId45" tooltip="Friuli-Venezia Giulia" display="https://it.wikipedia.org/wiki/Friuli-Venezia_Giulia" xr:uid="{00000000-0004-0000-0400-00002C000000}"/>
    <hyperlink ref="E37" r:id="rId46" tooltip="Provincia di Pordenone" display="https://it.wikipedia.org/wiki/Provincia_di_Pordenone" xr:uid="{00000000-0004-0000-0400-00002D000000}"/>
    <hyperlink ref="E38" r:id="rId47" tooltip="Provincia di Udine" display="https://it.wikipedia.org/wiki/Provincia_di_Udine" xr:uid="{00000000-0004-0000-0400-00002E000000}"/>
    <hyperlink ref="E39" r:id="rId48" tooltip="Provincia di Gorizia" display="https://it.wikipedia.org/wiki/Provincia_di_Gorizia" xr:uid="{00000000-0004-0000-0400-00002F000000}"/>
    <hyperlink ref="E40" r:id="rId49" tooltip="Provincia di Trieste" display="https://it.wikipedia.org/wiki/Provincia_di_Trieste" xr:uid="{00000000-0004-0000-0400-000030000000}"/>
    <hyperlink ref="C41" r:id="rId50" tooltip="Emilia-Romagna" display="https://it.wikipedia.org/wiki/Emilia-Romagna" xr:uid="{00000000-0004-0000-0400-000031000000}"/>
    <hyperlink ref="E41" r:id="rId51" tooltip="Provincia di Piacenza" display="https://it.wikipedia.org/wiki/Provincia_di_Piacenza" xr:uid="{00000000-0004-0000-0400-000032000000}"/>
    <hyperlink ref="E42" r:id="rId52" tooltip="Provincia di Parma" display="https://it.wikipedia.org/wiki/Provincia_di_Parma" xr:uid="{00000000-0004-0000-0400-000033000000}"/>
    <hyperlink ref="E43" r:id="rId53" tooltip="Provincia di Reggio Emilia" display="https://it.wikipedia.org/wiki/Provincia_di_Reggio_Emilia" xr:uid="{00000000-0004-0000-0400-000034000000}"/>
    <hyperlink ref="E44" r:id="rId54" tooltip="Provincia di Modena" display="https://it.wikipedia.org/wiki/Provincia_di_Modena" xr:uid="{00000000-0004-0000-0400-000035000000}"/>
    <hyperlink ref="E45" r:id="rId55" tooltip="Città metropolitana di Bologna" display="https://it.wikipedia.org/wiki/Citt%C3%A0_metropolitana_di_Bologna" xr:uid="{00000000-0004-0000-0400-000036000000}"/>
    <hyperlink ref="E46" r:id="rId56" tooltip="Provincia di Ferrara" display="https://it.wikipedia.org/wiki/Provincia_di_Ferrara" xr:uid="{00000000-0004-0000-0400-000037000000}"/>
    <hyperlink ref="E47" r:id="rId57" tooltip="Provincia di Ravenna" display="https://it.wikipedia.org/wiki/Provincia_di_Ravenna" xr:uid="{00000000-0004-0000-0400-000038000000}"/>
    <hyperlink ref="E48" r:id="rId58" tooltip="Provincia di Forlì-Cesena" display="https://it.wikipedia.org/wiki/Provincia_di_Forl%C3%AC-Cesena" xr:uid="{00000000-0004-0000-0400-000039000000}"/>
    <hyperlink ref="E49" r:id="rId59" tooltip="Provincia di Rimini" display="https://it.wikipedia.org/wiki/Provincia_di_Rimini" xr:uid="{00000000-0004-0000-0400-00003A000000}"/>
    <hyperlink ref="A50" r:id="rId60" tooltip="Italia centrale" display="https://it.wikipedia.org/wiki/Italia_centrale" xr:uid="{00000000-0004-0000-0400-00003B000000}"/>
    <hyperlink ref="C50" r:id="rId61" tooltip="Toscana" display="https://it.wikipedia.org/wiki/Toscana" xr:uid="{00000000-0004-0000-0400-00003C000000}"/>
    <hyperlink ref="E50" r:id="rId62" tooltip="Provincia di Massa-Carrara" display="https://it.wikipedia.org/wiki/Provincia_di_Massa-Carrara" xr:uid="{00000000-0004-0000-0400-00003D000000}"/>
    <hyperlink ref="E51" r:id="rId63" tooltip="Provincia di Lucca" display="https://it.wikipedia.org/wiki/Provincia_di_Lucca" xr:uid="{00000000-0004-0000-0400-00003E000000}"/>
    <hyperlink ref="E52" r:id="rId64" tooltip="Provincia di Pistoia" display="https://it.wikipedia.org/wiki/Provincia_di_Pistoia" xr:uid="{00000000-0004-0000-0400-00003F000000}"/>
    <hyperlink ref="E53" r:id="rId65" tooltip="Città metropolitana di Firenze" display="https://it.wikipedia.org/wiki/Citt%C3%A0_metropolitana_di_Firenze" xr:uid="{00000000-0004-0000-0400-000040000000}"/>
    <hyperlink ref="E54" r:id="rId66" tooltip="Provincia di Prato" display="https://it.wikipedia.org/wiki/Provincia_di_Prato" xr:uid="{00000000-0004-0000-0400-000041000000}"/>
    <hyperlink ref="E55" r:id="rId67" tooltip="Provincia di Livorno" display="https://it.wikipedia.org/wiki/Provincia_di_Livorno" xr:uid="{00000000-0004-0000-0400-000042000000}"/>
    <hyperlink ref="E56" r:id="rId68" tooltip="Provincia di Pisa" display="https://it.wikipedia.org/wiki/Provincia_di_Pisa" xr:uid="{00000000-0004-0000-0400-000043000000}"/>
    <hyperlink ref="E57" r:id="rId69" tooltip="Provincia di Arezzo" display="https://it.wikipedia.org/wiki/Provincia_di_Arezzo" xr:uid="{00000000-0004-0000-0400-000044000000}"/>
    <hyperlink ref="E58" r:id="rId70" tooltip="Provincia di Siena" display="https://it.wikipedia.org/wiki/Provincia_di_Siena" xr:uid="{00000000-0004-0000-0400-000045000000}"/>
    <hyperlink ref="E59" r:id="rId71" tooltip="Provincia di Grosseto" display="https://it.wikipedia.org/wiki/Provincia_di_Grosseto" xr:uid="{00000000-0004-0000-0400-000046000000}"/>
    <hyperlink ref="C60" r:id="rId72" tooltip="Umbria" display="https://it.wikipedia.org/wiki/Umbria" xr:uid="{00000000-0004-0000-0400-000047000000}"/>
    <hyperlink ref="E60" r:id="rId73" tooltip="Provincia di Perugia" display="https://it.wikipedia.org/wiki/Provincia_di_Perugia" xr:uid="{00000000-0004-0000-0400-000048000000}"/>
    <hyperlink ref="E61" r:id="rId74" tooltip="Provincia di Terni" display="https://it.wikipedia.org/wiki/Provincia_di_Terni" xr:uid="{00000000-0004-0000-0400-000049000000}"/>
    <hyperlink ref="C62" r:id="rId75" tooltip="Marche" display="https://it.wikipedia.org/wiki/Marche" xr:uid="{00000000-0004-0000-0400-00004A000000}"/>
    <hyperlink ref="E62" r:id="rId76" tooltip="Provincia di Pesaro e Urbino" display="https://it.wikipedia.org/wiki/Provincia_di_Pesaro_e_Urbino" xr:uid="{00000000-0004-0000-0400-00004B000000}"/>
    <hyperlink ref="E63" r:id="rId77" tooltip="Provincia di Ancona" display="https://it.wikipedia.org/wiki/Provincia_di_Ancona" xr:uid="{00000000-0004-0000-0400-00004C000000}"/>
    <hyperlink ref="E64" r:id="rId78" tooltip="Provincia di Macerata" display="https://it.wikipedia.org/wiki/Provincia_di_Macerata" xr:uid="{00000000-0004-0000-0400-00004D000000}"/>
    <hyperlink ref="E65" r:id="rId79" tooltip="Provincia di Ascoli Piceno" display="https://it.wikipedia.org/wiki/Provincia_di_Ascoli_Piceno" xr:uid="{00000000-0004-0000-0400-00004E000000}"/>
    <hyperlink ref="E66" r:id="rId80" tooltip="Provincia di Fermo" display="https://it.wikipedia.org/wiki/Provincia_di_Fermo" xr:uid="{00000000-0004-0000-0400-00004F000000}"/>
    <hyperlink ref="C67" r:id="rId81" tooltip="Lazio" display="https://it.wikipedia.org/wiki/Lazio" xr:uid="{00000000-0004-0000-0400-000050000000}"/>
    <hyperlink ref="E67" r:id="rId82" tooltip="Provincia di Viterbo" display="https://it.wikipedia.org/wiki/Provincia_di_Viterbo" xr:uid="{00000000-0004-0000-0400-000051000000}"/>
    <hyperlink ref="E68" r:id="rId83" tooltip="Provincia di Rieti" display="https://it.wikipedia.org/wiki/Provincia_di_Rieti" xr:uid="{00000000-0004-0000-0400-000052000000}"/>
    <hyperlink ref="E69" r:id="rId84" tooltip="Provincia di Roma" display="https://it.wikipedia.org/wiki/Provincia_di_Roma" xr:uid="{00000000-0004-0000-0400-000053000000}"/>
    <hyperlink ref="E70" r:id="rId85" tooltip="Provincia di Latina" display="https://it.wikipedia.org/wiki/Provincia_di_Latina" xr:uid="{00000000-0004-0000-0400-000054000000}"/>
    <hyperlink ref="E71" r:id="rId86" tooltip="Provincia di Frosinone" display="https://it.wikipedia.org/wiki/Provincia_di_Frosinone" xr:uid="{00000000-0004-0000-0400-000055000000}"/>
    <hyperlink ref="A72" r:id="rId87" tooltip="Italia meridionale" display="https://it.wikipedia.org/wiki/Italia_meridionale" xr:uid="{00000000-0004-0000-0400-000056000000}"/>
    <hyperlink ref="C72" r:id="rId88" tooltip="Abruzzo" display="https://it.wikipedia.org/wiki/Abruzzo" xr:uid="{00000000-0004-0000-0400-000057000000}"/>
    <hyperlink ref="E72" r:id="rId89" tooltip="Provincia di L'Aquila" display="https://it.wikipedia.org/wiki/Provincia_di_L%27Aquila" xr:uid="{00000000-0004-0000-0400-000058000000}"/>
    <hyperlink ref="E73" r:id="rId90" tooltip="Provincia di Teramo" display="https://it.wikipedia.org/wiki/Provincia_di_Teramo" xr:uid="{00000000-0004-0000-0400-000059000000}"/>
    <hyperlink ref="E74" r:id="rId91" tooltip="Provincia di Pescara" display="https://it.wikipedia.org/wiki/Provincia_di_Pescara" xr:uid="{00000000-0004-0000-0400-00005A000000}"/>
    <hyperlink ref="E75" r:id="rId92" tooltip="Provincia di Chieti" display="https://it.wikipedia.org/wiki/Provincia_di_Chieti" xr:uid="{00000000-0004-0000-0400-00005B000000}"/>
    <hyperlink ref="C76" r:id="rId93" tooltip="Molise" display="https://it.wikipedia.org/wiki/Molise" xr:uid="{00000000-0004-0000-0400-00005C000000}"/>
    <hyperlink ref="E76" r:id="rId94" tooltip="Provincia di Isernia" display="https://it.wikipedia.org/wiki/Provincia_di_Isernia" xr:uid="{00000000-0004-0000-0400-00005D000000}"/>
    <hyperlink ref="E77" r:id="rId95" tooltip="Provincia di Campobasso" display="https://it.wikipedia.org/wiki/Provincia_di_Campobasso" xr:uid="{00000000-0004-0000-0400-00005E000000}"/>
    <hyperlink ref="C78" r:id="rId96" tooltip="Campania" display="https://it.wikipedia.org/wiki/Campania" xr:uid="{00000000-0004-0000-0400-00005F000000}"/>
    <hyperlink ref="E78" r:id="rId97" tooltip="Provincia di Caserta" display="https://it.wikipedia.org/wiki/Provincia_di_Caserta" xr:uid="{00000000-0004-0000-0400-000060000000}"/>
    <hyperlink ref="E79" r:id="rId98" tooltip="Provincia di Benevento" display="https://it.wikipedia.org/wiki/Provincia_di_Benevento" xr:uid="{00000000-0004-0000-0400-000061000000}"/>
    <hyperlink ref="E80" r:id="rId99" tooltip="Città metropolitana di Napoli" display="https://it.wikipedia.org/wiki/Citt%C3%A0_metropolitana_di_Napoli" xr:uid="{00000000-0004-0000-0400-000062000000}"/>
    <hyperlink ref="E81" r:id="rId100" tooltip="Provincia di Avellino" display="https://it.wikipedia.org/wiki/Provincia_di_Avellino" xr:uid="{00000000-0004-0000-0400-000063000000}"/>
    <hyperlink ref="E82" r:id="rId101" tooltip="Provincia di Salerno" display="https://it.wikipedia.org/wiki/Provincia_di_Salerno" xr:uid="{00000000-0004-0000-0400-000064000000}"/>
    <hyperlink ref="C83" r:id="rId102" tooltip="Puglia" display="https://it.wikipedia.org/wiki/Puglia" xr:uid="{00000000-0004-0000-0400-000065000000}"/>
    <hyperlink ref="E83" r:id="rId103" tooltip="Provincia di Taranto" display="https://it.wikipedia.org/wiki/Provincia_di_Taranto" xr:uid="{00000000-0004-0000-0400-000066000000}"/>
    <hyperlink ref="E84" r:id="rId104" tooltip="Provincia di Brindisi" display="https://it.wikipedia.org/wiki/Provincia_di_Brindisi" xr:uid="{00000000-0004-0000-0400-000067000000}"/>
    <hyperlink ref="E85" r:id="rId105" tooltip="Provincia di Lecce" display="https://it.wikipedia.org/wiki/Provincia_di_Lecce" xr:uid="{00000000-0004-0000-0400-000068000000}"/>
    <hyperlink ref="E86" r:id="rId106" tooltip="Provincia di Foggia" display="https://it.wikipedia.org/wiki/Provincia_di_Foggia" xr:uid="{00000000-0004-0000-0400-000069000000}"/>
    <hyperlink ref="E87" r:id="rId107" tooltip="Provincia di Bari" display="https://it.wikipedia.org/wiki/Provincia_di_Bari" xr:uid="{00000000-0004-0000-0400-00006A000000}"/>
    <hyperlink ref="E88" r:id="rId108" tooltip="Provincia di Barletta-Andria-Trani" display="https://it.wikipedia.org/wiki/Provincia_di_Barletta-Andria-Trani" xr:uid="{00000000-0004-0000-0400-00006B000000}"/>
    <hyperlink ref="C89" r:id="rId109" tooltip="Basilicata" display="https://it.wikipedia.org/wiki/Basilicata" xr:uid="{00000000-0004-0000-0400-00006C000000}"/>
    <hyperlink ref="E89" r:id="rId110" tooltip="Provincia di Potenza" display="https://it.wikipedia.org/wiki/Provincia_di_Potenza" xr:uid="{00000000-0004-0000-0400-00006D000000}"/>
    <hyperlink ref="E90" r:id="rId111" tooltip="Provincia di Matera" display="https://it.wikipedia.org/wiki/Provincia_di_Matera" xr:uid="{00000000-0004-0000-0400-00006E000000}"/>
    <hyperlink ref="C91" r:id="rId112" tooltip="Calabria" display="https://it.wikipedia.org/wiki/Calabria" xr:uid="{00000000-0004-0000-0400-00006F000000}"/>
    <hyperlink ref="E91" r:id="rId113" tooltip="Provincia di Cosenza" display="https://it.wikipedia.org/wiki/Provincia_di_Cosenza" xr:uid="{00000000-0004-0000-0400-000070000000}"/>
    <hyperlink ref="E92" r:id="rId114" tooltip="Provincia di Crotone" display="https://it.wikipedia.org/wiki/Provincia_di_Crotone" xr:uid="{00000000-0004-0000-0400-000071000000}"/>
    <hyperlink ref="E93" r:id="rId115" tooltip="Provincia di Catanzaro" display="https://it.wikipedia.org/wiki/Provincia_di_Catanzaro" xr:uid="{00000000-0004-0000-0400-000072000000}"/>
    <hyperlink ref="E94" r:id="rId116" tooltip="Provincia di Vibo Valentia" display="https://it.wikipedia.org/wiki/Provincia_di_Vibo_Valentia" xr:uid="{00000000-0004-0000-0400-000073000000}"/>
    <hyperlink ref="E95" r:id="rId117" tooltip="Provincia di Reggio Calabria" display="https://it.wikipedia.org/wiki/Provincia_di_Reggio_Calabria" xr:uid="{00000000-0004-0000-0400-000074000000}"/>
    <hyperlink ref="A96" r:id="rId118" tooltip="Italia insulare" display="https://it.wikipedia.org/wiki/Italia_insulare" xr:uid="{00000000-0004-0000-0400-000075000000}"/>
    <hyperlink ref="C96" r:id="rId119" tooltip="Sicilia" display="https://it.wikipedia.org/wiki/Sicilia" xr:uid="{00000000-0004-0000-0400-000076000000}"/>
    <hyperlink ref="E96" r:id="rId120" tooltip="Provincia di Trapani" display="https://it.wikipedia.org/wiki/Provincia_di_Trapani" xr:uid="{00000000-0004-0000-0400-000077000000}"/>
    <hyperlink ref="E97" r:id="rId121" tooltip="Provincia di Palermo" display="https://it.wikipedia.org/wiki/Provincia_di_Palermo" xr:uid="{00000000-0004-0000-0400-000078000000}"/>
    <hyperlink ref="E98" r:id="rId122" tooltip="Provincia di Messina" display="https://it.wikipedia.org/wiki/Provincia_di_Messina" xr:uid="{00000000-0004-0000-0400-000079000000}"/>
    <hyperlink ref="E99" r:id="rId123" tooltip="Provincia di Agrigento" display="https://it.wikipedia.org/wiki/Provincia_di_Agrigento" xr:uid="{00000000-0004-0000-0400-00007A000000}"/>
    <hyperlink ref="E100" r:id="rId124" tooltip="Provincia di Caltanissetta" display="https://it.wikipedia.org/wiki/Provincia_di_Caltanissetta" xr:uid="{00000000-0004-0000-0400-00007B000000}"/>
    <hyperlink ref="E101" r:id="rId125" tooltip="Provincia di Enna" display="https://it.wikipedia.org/wiki/Provincia_di_Enna" xr:uid="{00000000-0004-0000-0400-00007C000000}"/>
    <hyperlink ref="E102" r:id="rId126" tooltip="Provincia di Catania" display="https://it.wikipedia.org/wiki/Provincia_di_Catania" xr:uid="{00000000-0004-0000-0400-00007D000000}"/>
    <hyperlink ref="E103" r:id="rId127" tooltip="Provincia di Ragusa" display="https://it.wikipedia.org/wiki/Provincia_di_Ragusa" xr:uid="{00000000-0004-0000-0400-00007E000000}"/>
    <hyperlink ref="E104" r:id="rId128" tooltip="Provincia di Siracusa" display="https://it.wikipedia.org/wiki/Provincia_di_Siracusa" xr:uid="{00000000-0004-0000-0400-00007F000000}"/>
    <hyperlink ref="C105" r:id="rId129" tooltip="Sardegna" display="https://it.wikipedia.org/wiki/Sardegna" xr:uid="{00000000-0004-0000-0400-000080000000}"/>
    <hyperlink ref="E105" r:id="rId130" tooltip="Provincia di Sassari" display="https://it.wikipedia.org/wiki/Provincia_di_Sassari" xr:uid="{00000000-0004-0000-0400-000081000000}"/>
    <hyperlink ref="E106" r:id="rId131" tooltip="Provincia di Nuoro" display="https://it.wikipedia.org/wiki/Provincia_di_Nuoro" xr:uid="{00000000-0004-0000-0400-000082000000}"/>
    <hyperlink ref="E107" r:id="rId132" tooltip="Provincia di Cagliari" display="https://it.wikipedia.org/wiki/Provincia_di_Cagliari" xr:uid="{00000000-0004-0000-0400-000083000000}"/>
    <hyperlink ref="E108" r:id="rId133" tooltip="Provincia di Oristano" display="https://it.wikipedia.org/wiki/Provincia_di_Oristano" xr:uid="{00000000-0004-0000-0400-000084000000}"/>
    <hyperlink ref="E109" r:id="rId134" tooltip="Provincia del Sud Sardegna" display="https://it.wikipedia.org/wiki/Provincia_del_Sud_Sardegna" xr:uid="{00000000-0004-0000-0400-000085000000}"/>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7AA8DEE-43B0-41C7-BF18-C8E40CC67C1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vt:i4>
      </vt:variant>
      <vt:variant>
        <vt:lpstr>Intervalli denominati</vt:lpstr>
      </vt:variant>
      <vt:variant>
        <vt:i4>8</vt:i4>
      </vt:variant>
    </vt:vector>
  </HeadingPairs>
  <TitlesOfParts>
    <vt:vector size="12" baseType="lpstr">
      <vt:lpstr>reg</vt:lpstr>
      <vt:lpstr>prov</vt:lpstr>
      <vt:lpstr>note</vt:lpstr>
      <vt:lpstr>nuts</vt:lpstr>
      <vt:lpstr>colProv</vt:lpstr>
      <vt:lpstr>colReg</vt:lpstr>
      <vt:lpstr>CopyRowProv</vt:lpstr>
      <vt:lpstr>CopyRowReg</vt:lpstr>
      <vt:lpstr>rigProv</vt:lpstr>
      <vt:lpstr>rigReg</vt:lpstr>
      <vt:lpstr>startProv</vt:lpstr>
      <vt:lpstr>startReg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paolo ubezio</dc:creator>
  <cp:lastModifiedBy>Paolo Ubezio</cp:lastModifiedBy>
  <cp:lastPrinted>2021-05-05T16:07:24Z</cp:lastPrinted>
  <dcterms:created xsi:type="dcterms:W3CDTF">2020-07-14T20:11:28Z</dcterms:created>
  <dcterms:modified xsi:type="dcterms:W3CDTF">2022-10-29T18:13:48Z</dcterms:modified>
</cp:coreProperties>
</file>